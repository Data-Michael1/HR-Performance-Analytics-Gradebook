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 OGBOMUDIA\Desktop\DATA ANALYTICS\EXCEL GRADEBOOK STUDY\"/>
    </mc:Choice>
  </mc:AlternateContent>
  <xr:revisionPtr revIDLastSave="0" documentId="13_ncr:1_{B4EE36E9-E24E-47FB-9716-17FEC34C83F0}" xr6:coauthVersionLast="36" xr6:coauthVersionMax="36" xr10:uidLastSave="{00000000-0000-0000-0000-000000000000}"/>
  <bookViews>
    <workbookView xWindow="0" yWindow="0" windowWidth="19200" windowHeight="6970" xr2:uid="{4F82B1B6-A7E3-4DFC-B0EB-4DB812871E4F}"/>
  </bookViews>
  <sheets>
    <sheet name="HR Employee Data Analysis" sheetId="1" r:id="rId1"/>
    <sheet name="Analysis (Charts)" sheetId="2" r:id="rId2"/>
    <sheet name="Insights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" i="1" l="1"/>
  <c r="I11" i="1" l="1"/>
  <c r="K49" i="1"/>
  <c r="M4" i="1"/>
  <c r="I4" i="1"/>
  <c r="N4" i="1" l="1"/>
  <c r="N80" i="1"/>
  <c r="N85" i="1"/>
  <c r="N49" i="1"/>
  <c r="N31" i="1"/>
  <c r="N16" i="1"/>
  <c r="N67" i="1"/>
  <c r="N95" i="1"/>
  <c r="N73" i="1"/>
  <c r="N53" i="1"/>
  <c r="N58" i="1"/>
  <c r="N47" i="1"/>
  <c r="N37" i="1"/>
  <c r="N61" i="1"/>
  <c r="N81" i="1"/>
  <c r="N100" i="1"/>
  <c r="N59" i="1"/>
  <c r="N55" i="1"/>
  <c r="N38" i="1"/>
  <c r="N56" i="1"/>
  <c r="N20" i="1"/>
  <c r="N24" i="1"/>
  <c r="N62" i="1"/>
  <c r="N79" i="1"/>
  <c r="N43" i="1"/>
  <c r="N63" i="1"/>
  <c r="N29" i="1"/>
  <c r="N46" i="1"/>
  <c r="N13" i="1"/>
  <c r="N83" i="1"/>
  <c r="N40" i="1"/>
  <c r="N71" i="1"/>
  <c r="N60" i="1"/>
  <c r="N10" i="1"/>
  <c r="N30" i="1"/>
  <c r="N25" i="1"/>
  <c r="N21" i="1"/>
  <c r="N76" i="1"/>
  <c r="N5" i="1"/>
  <c r="N26" i="1"/>
  <c r="N32" i="1"/>
  <c r="N70" i="1"/>
  <c r="N44" i="1"/>
  <c r="N89" i="1"/>
  <c r="N22" i="1"/>
  <c r="N77" i="1"/>
  <c r="N45" i="1"/>
  <c r="N98" i="1"/>
  <c r="N17" i="1"/>
  <c r="N14" i="1"/>
  <c r="N6" i="1"/>
  <c r="N39" i="1"/>
  <c r="N72" i="1"/>
  <c r="N18" i="1"/>
  <c r="N92" i="1"/>
  <c r="N27" i="1"/>
  <c r="N23" i="1"/>
  <c r="N93" i="1"/>
  <c r="N7" i="1"/>
  <c r="N64" i="1"/>
  <c r="N8" i="1"/>
  <c r="N19" i="1"/>
  <c r="N12" i="1"/>
  <c r="N96" i="1"/>
  <c r="N68" i="1"/>
  <c r="N87" i="1"/>
  <c r="N65" i="1"/>
  <c r="N33" i="1"/>
  <c r="N78" i="1"/>
  <c r="N75" i="1"/>
  <c r="N51" i="1"/>
  <c r="N91" i="1"/>
  <c r="N48" i="1"/>
  <c r="N34" i="1"/>
  <c r="N57" i="1"/>
  <c r="N54" i="1"/>
  <c r="N28" i="1"/>
  <c r="N88" i="1"/>
  <c r="N69" i="1"/>
  <c r="N101" i="1"/>
  <c r="N94" i="1"/>
  <c r="N66" i="1"/>
  <c r="N84" i="1"/>
  <c r="N86" i="1"/>
  <c r="N9" i="1"/>
  <c r="N90" i="1"/>
  <c r="N42" i="1"/>
  <c r="N52" i="1"/>
  <c r="N36" i="1"/>
  <c r="N97" i="1"/>
  <c r="N15" i="1"/>
  <c r="N82" i="1"/>
  <c r="N74" i="1"/>
  <c r="N99" i="1"/>
  <c r="N50" i="1"/>
  <c r="N35" i="1"/>
  <c r="N41" i="1"/>
  <c r="N11" i="1"/>
  <c r="N103" i="1" l="1"/>
  <c r="N105" i="1"/>
  <c r="N104" i="1"/>
  <c r="I49" i="1"/>
  <c r="L84" i="1" l="1"/>
  <c r="M91" i="1"/>
  <c r="M60" i="1"/>
  <c r="M49" i="1" l="1"/>
  <c r="M11" i="1"/>
  <c r="M35" i="1"/>
  <c r="M41" i="1"/>
  <c r="M90" i="1"/>
  <c r="M42" i="1"/>
  <c r="M52" i="1"/>
  <c r="M36" i="1"/>
  <c r="M97" i="1"/>
  <c r="M15" i="1"/>
  <c r="M82" i="1"/>
  <c r="M74" i="1"/>
  <c r="M99" i="1"/>
  <c r="M50" i="1"/>
  <c r="M31" i="1"/>
  <c r="M16" i="1"/>
  <c r="M67" i="1"/>
  <c r="M95" i="1"/>
  <c r="M73" i="1"/>
  <c r="M53" i="1"/>
  <c r="M58" i="1"/>
  <c r="M47" i="1"/>
  <c r="M37" i="1"/>
  <c r="M61" i="1"/>
  <c r="M81" i="1"/>
  <c r="M100" i="1"/>
  <c r="M59" i="1"/>
  <c r="M55" i="1"/>
  <c r="M38" i="1"/>
  <c r="M56" i="1"/>
  <c r="M20" i="1"/>
  <c r="M24" i="1"/>
  <c r="M62" i="1"/>
  <c r="M79" i="1"/>
  <c r="M43" i="1"/>
  <c r="M63" i="1"/>
  <c r="M29" i="1"/>
  <c r="M46" i="1"/>
  <c r="M13" i="1"/>
  <c r="M83" i="1"/>
  <c r="M40" i="1"/>
  <c r="M71" i="1"/>
  <c r="M10" i="1"/>
  <c r="M30" i="1"/>
  <c r="M25" i="1"/>
  <c r="M21" i="1"/>
  <c r="M76" i="1"/>
  <c r="M5" i="1"/>
  <c r="M26" i="1"/>
  <c r="M32" i="1"/>
  <c r="M70" i="1"/>
  <c r="M44" i="1"/>
  <c r="M89" i="1"/>
  <c r="M22" i="1"/>
  <c r="M77" i="1"/>
  <c r="M45" i="1"/>
  <c r="M98" i="1"/>
  <c r="M17" i="1"/>
  <c r="M14" i="1"/>
  <c r="M6" i="1"/>
  <c r="M39" i="1"/>
  <c r="M72" i="1"/>
  <c r="M18" i="1"/>
  <c r="M92" i="1"/>
  <c r="M27" i="1"/>
  <c r="M23" i="1"/>
  <c r="M93" i="1"/>
  <c r="M7" i="1"/>
  <c r="M64" i="1"/>
  <c r="M8" i="1"/>
  <c r="M19" i="1"/>
  <c r="M12" i="1"/>
  <c r="M96" i="1"/>
  <c r="M68" i="1"/>
  <c r="M87" i="1"/>
  <c r="M65" i="1"/>
  <c r="M33" i="1"/>
  <c r="M78" i="1"/>
  <c r="M75" i="1"/>
  <c r="M51" i="1"/>
  <c r="M48" i="1"/>
  <c r="M34" i="1"/>
  <c r="M57" i="1"/>
  <c r="M54" i="1"/>
  <c r="M28" i="1"/>
  <c r="M88" i="1"/>
  <c r="M69" i="1"/>
  <c r="M101" i="1"/>
  <c r="M94" i="1"/>
  <c r="M80" i="1"/>
  <c r="M66" i="1"/>
  <c r="M85" i="1"/>
  <c r="M84" i="1"/>
  <c r="M86" i="1"/>
  <c r="M9" i="1"/>
  <c r="L49" i="1"/>
  <c r="L11" i="1"/>
  <c r="L35" i="1"/>
  <c r="L41" i="1"/>
  <c r="L90" i="1"/>
  <c r="L42" i="1"/>
  <c r="L52" i="1"/>
  <c r="L36" i="1"/>
  <c r="L97" i="1"/>
  <c r="L15" i="1"/>
  <c r="L82" i="1"/>
  <c r="L74" i="1"/>
  <c r="L99" i="1"/>
  <c r="L50" i="1"/>
  <c r="L31" i="1"/>
  <c r="L16" i="1"/>
  <c r="L67" i="1"/>
  <c r="L95" i="1"/>
  <c r="L73" i="1"/>
  <c r="L53" i="1"/>
  <c r="L58" i="1"/>
  <c r="L47" i="1"/>
  <c r="L37" i="1"/>
  <c r="L61" i="1"/>
  <c r="L81" i="1"/>
  <c r="L100" i="1"/>
  <c r="L59" i="1"/>
  <c r="L55" i="1"/>
  <c r="L38" i="1"/>
  <c r="L56" i="1"/>
  <c r="L20" i="1"/>
  <c r="L24" i="1"/>
  <c r="L62" i="1"/>
  <c r="L79" i="1"/>
  <c r="L43" i="1"/>
  <c r="L63" i="1"/>
  <c r="L29" i="1"/>
  <c r="L46" i="1"/>
  <c r="L13" i="1"/>
  <c r="L83" i="1"/>
  <c r="L40" i="1"/>
  <c r="L71" i="1"/>
  <c r="L60" i="1"/>
  <c r="L10" i="1"/>
  <c r="L30" i="1"/>
  <c r="L25" i="1"/>
  <c r="L21" i="1"/>
  <c r="L76" i="1"/>
  <c r="L5" i="1"/>
  <c r="L26" i="1"/>
  <c r="L32" i="1"/>
  <c r="L70" i="1"/>
  <c r="L44" i="1"/>
  <c r="L89" i="1"/>
  <c r="L22" i="1"/>
  <c r="L77" i="1"/>
  <c r="L45" i="1"/>
  <c r="L98" i="1"/>
  <c r="L17" i="1"/>
  <c r="L14" i="1"/>
  <c r="L6" i="1"/>
  <c r="L39" i="1"/>
  <c r="L72" i="1"/>
  <c r="L18" i="1"/>
  <c r="L92" i="1"/>
  <c r="L27" i="1"/>
  <c r="L23" i="1"/>
  <c r="L93" i="1"/>
  <c r="L7" i="1"/>
  <c r="L64" i="1"/>
  <c r="L8" i="1"/>
  <c r="L19" i="1"/>
  <c r="L12" i="1"/>
  <c r="L96" i="1"/>
  <c r="L68" i="1"/>
  <c r="L87" i="1"/>
  <c r="L65" i="1"/>
  <c r="L33" i="1"/>
  <c r="L78" i="1"/>
  <c r="L75" i="1"/>
  <c r="L51" i="1"/>
  <c r="L91" i="1"/>
  <c r="L48" i="1"/>
  <c r="L34" i="1"/>
  <c r="L57" i="1"/>
  <c r="L54" i="1"/>
  <c r="L28" i="1"/>
  <c r="L88" i="1"/>
  <c r="L69" i="1"/>
  <c r="L101" i="1"/>
  <c r="L94" i="1"/>
  <c r="L80" i="1"/>
  <c r="L66" i="1"/>
  <c r="L85" i="1"/>
  <c r="L86" i="1"/>
  <c r="L9" i="1"/>
  <c r="L4" i="1"/>
  <c r="K35" i="1"/>
  <c r="K41" i="1"/>
  <c r="K90" i="1"/>
  <c r="K42" i="1"/>
  <c r="K52" i="1"/>
  <c r="K36" i="1"/>
  <c r="K97" i="1"/>
  <c r="K15" i="1"/>
  <c r="K82" i="1"/>
  <c r="K74" i="1"/>
  <c r="K99" i="1"/>
  <c r="K50" i="1"/>
  <c r="K31" i="1"/>
  <c r="K16" i="1"/>
  <c r="K67" i="1"/>
  <c r="K95" i="1"/>
  <c r="K73" i="1"/>
  <c r="K53" i="1"/>
  <c r="K58" i="1"/>
  <c r="K47" i="1"/>
  <c r="K37" i="1"/>
  <c r="K61" i="1"/>
  <c r="K81" i="1"/>
  <c r="K100" i="1"/>
  <c r="K59" i="1"/>
  <c r="K55" i="1"/>
  <c r="K38" i="1"/>
  <c r="K56" i="1"/>
  <c r="K20" i="1"/>
  <c r="K24" i="1"/>
  <c r="K62" i="1"/>
  <c r="K79" i="1"/>
  <c r="K43" i="1"/>
  <c r="K63" i="1"/>
  <c r="K29" i="1"/>
  <c r="K46" i="1"/>
  <c r="K13" i="1"/>
  <c r="K83" i="1"/>
  <c r="K40" i="1"/>
  <c r="K71" i="1"/>
  <c r="K60" i="1"/>
  <c r="K10" i="1"/>
  <c r="K30" i="1"/>
  <c r="K25" i="1"/>
  <c r="K21" i="1"/>
  <c r="K76" i="1"/>
  <c r="K5" i="1"/>
  <c r="K26" i="1"/>
  <c r="K32" i="1"/>
  <c r="K70" i="1"/>
  <c r="K44" i="1"/>
  <c r="K89" i="1"/>
  <c r="K22" i="1"/>
  <c r="K77" i="1"/>
  <c r="K45" i="1"/>
  <c r="K98" i="1"/>
  <c r="K17" i="1"/>
  <c r="K14" i="1"/>
  <c r="K6" i="1"/>
  <c r="K39" i="1"/>
  <c r="K72" i="1"/>
  <c r="K18" i="1"/>
  <c r="K92" i="1"/>
  <c r="K27" i="1"/>
  <c r="K23" i="1"/>
  <c r="K93" i="1"/>
  <c r="K7" i="1"/>
  <c r="K64" i="1"/>
  <c r="K8" i="1"/>
  <c r="K19" i="1"/>
  <c r="K12" i="1"/>
  <c r="K96" i="1"/>
  <c r="K68" i="1"/>
  <c r="K87" i="1"/>
  <c r="K65" i="1"/>
  <c r="K33" i="1"/>
  <c r="K78" i="1"/>
  <c r="K75" i="1"/>
  <c r="K51" i="1"/>
  <c r="K91" i="1"/>
  <c r="K48" i="1"/>
  <c r="K34" i="1"/>
  <c r="K57" i="1"/>
  <c r="K54" i="1"/>
  <c r="K28" i="1"/>
  <c r="K88" i="1"/>
  <c r="K69" i="1"/>
  <c r="K101" i="1"/>
  <c r="K94" i="1"/>
  <c r="K80" i="1"/>
  <c r="K66" i="1"/>
  <c r="K85" i="1"/>
  <c r="K84" i="1"/>
  <c r="K86" i="1"/>
  <c r="K9" i="1"/>
  <c r="K11" i="1"/>
  <c r="K4" i="1"/>
  <c r="J49" i="1"/>
  <c r="J11" i="1"/>
  <c r="J35" i="1"/>
  <c r="J41" i="1"/>
  <c r="J90" i="1"/>
  <c r="J42" i="1"/>
  <c r="J52" i="1"/>
  <c r="J36" i="1"/>
  <c r="J97" i="1"/>
  <c r="J15" i="1"/>
  <c r="J82" i="1"/>
  <c r="J74" i="1"/>
  <c r="J99" i="1"/>
  <c r="J50" i="1"/>
  <c r="J31" i="1"/>
  <c r="J16" i="1"/>
  <c r="J67" i="1"/>
  <c r="J95" i="1"/>
  <c r="J73" i="1"/>
  <c r="J53" i="1"/>
  <c r="J58" i="1"/>
  <c r="J47" i="1"/>
  <c r="J37" i="1"/>
  <c r="J61" i="1"/>
  <c r="J81" i="1"/>
  <c r="J100" i="1"/>
  <c r="J59" i="1"/>
  <c r="J55" i="1"/>
  <c r="J38" i="1"/>
  <c r="J56" i="1"/>
  <c r="J20" i="1"/>
  <c r="J24" i="1"/>
  <c r="J62" i="1"/>
  <c r="J79" i="1"/>
  <c r="J43" i="1"/>
  <c r="J63" i="1"/>
  <c r="J29" i="1"/>
  <c r="J46" i="1"/>
  <c r="J13" i="1"/>
  <c r="J83" i="1"/>
  <c r="J40" i="1"/>
  <c r="J71" i="1"/>
  <c r="J60" i="1"/>
  <c r="J10" i="1"/>
  <c r="J30" i="1"/>
  <c r="J25" i="1"/>
  <c r="J21" i="1"/>
  <c r="J76" i="1"/>
  <c r="J5" i="1"/>
  <c r="J26" i="1"/>
  <c r="J32" i="1"/>
  <c r="J70" i="1"/>
  <c r="J44" i="1"/>
  <c r="J89" i="1"/>
  <c r="J22" i="1"/>
  <c r="J77" i="1"/>
  <c r="J45" i="1"/>
  <c r="J98" i="1"/>
  <c r="J17" i="1"/>
  <c r="J14" i="1"/>
  <c r="J6" i="1"/>
  <c r="J39" i="1"/>
  <c r="J72" i="1"/>
  <c r="J18" i="1"/>
  <c r="J92" i="1"/>
  <c r="J27" i="1"/>
  <c r="J23" i="1"/>
  <c r="J93" i="1"/>
  <c r="J7" i="1"/>
  <c r="J64" i="1"/>
  <c r="J8" i="1"/>
  <c r="J19" i="1"/>
  <c r="J12" i="1"/>
  <c r="J96" i="1"/>
  <c r="J68" i="1"/>
  <c r="J87" i="1"/>
  <c r="J65" i="1"/>
  <c r="J33" i="1"/>
  <c r="J78" i="1"/>
  <c r="J75" i="1"/>
  <c r="J51" i="1"/>
  <c r="J91" i="1"/>
  <c r="J48" i="1"/>
  <c r="J34" i="1"/>
  <c r="J57" i="1"/>
  <c r="J54" i="1"/>
  <c r="J28" i="1"/>
  <c r="J88" i="1"/>
  <c r="J69" i="1"/>
  <c r="J101" i="1"/>
  <c r="J94" i="1"/>
  <c r="J80" i="1"/>
  <c r="J66" i="1"/>
  <c r="J85" i="1"/>
  <c r="J84" i="1"/>
  <c r="J86" i="1"/>
  <c r="J9" i="1"/>
  <c r="J4" i="1"/>
  <c r="I35" i="1"/>
  <c r="I41" i="1"/>
  <c r="I90" i="1"/>
  <c r="I42" i="1"/>
  <c r="I52" i="1"/>
  <c r="I36" i="1"/>
  <c r="I97" i="1"/>
  <c r="I15" i="1"/>
  <c r="I82" i="1"/>
  <c r="I74" i="1"/>
  <c r="I99" i="1"/>
  <c r="I50" i="1"/>
  <c r="I31" i="1"/>
  <c r="I16" i="1"/>
  <c r="I67" i="1"/>
  <c r="I95" i="1"/>
  <c r="I73" i="1"/>
  <c r="I53" i="1"/>
  <c r="I58" i="1"/>
  <c r="I47" i="1"/>
  <c r="I37" i="1"/>
  <c r="I61" i="1"/>
  <c r="I81" i="1"/>
  <c r="I100" i="1"/>
  <c r="I59" i="1"/>
  <c r="I55" i="1"/>
  <c r="I38" i="1"/>
  <c r="I56" i="1"/>
  <c r="I20" i="1"/>
  <c r="I24" i="1"/>
  <c r="I62" i="1"/>
  <c r="I79" i="1"/>
  <c r="I43" i="1"/>
  <c r="I63" i="1"/>
  <c r="I29" i="1"/>
  <c r="I46" i="1"/>
  <c r="I13" i="1"/>
  <c r="I83" i="1"/>
  <c r="I40" i="1"/>
  <c r="I71" i="1"/>
  <c r="I60" i="1"/>
  <c r="I10" i="1"/>
  <c r="I30" i="1"/>
  <c r="I25" i="1"/>
  <c r="I21" i="1"/>
  <c r="I76" i="1"/>
  <c r="I5" i="1"/>
  <c r="I26" i="1"/>
  <c r="I32" i="1"/>
  <c r="I70" i="1"/>
  <c r="I44" i="1"/>
  <c r="I89" i="1"/>
  <c r="I22" i="1"/>
  <c r="I77" i="1"/>
  <c r="I45" i="1"/>
  <c r="I98" i="1"/>
  <c r="I17" i="1"/>
  <c r="I14" i="1"/>
  <c r="I6" i="1"/>
  <c r="I39" i="1"/>
  <c r="I72" i="1"/>
  <c r="I18" i="1"/>
  <c r="I92" i="1"/>
  <c r="I27" i="1"/>
  <c r="I23" i="1"/>
  <c r="I93" i="1"/>
  <c r="I7" i="1"/>
  <c r="I64" i="1"/>
  <c r="I8" i="1"/>
  <c r="I19" i="1"/>
  <c r="I12" i="1"/>
  <c r="I96" i="1"/>
  <c r="I68" i="1"/>
  <c r="I87" i="1"/>
  <c r="I65" i="1"/>
  <c r="I33" i="1"/>
  <c r="I78" i="1"/>
  <c r="I75" i="1"/>
  <c r="I51" i="1"/>
  <c r="I91" i="1"/>
  <c r="I48" i="1"/>
  <c r="I34" i="1"/>
  <c r="I57" i="1"/>
  <c r="I54" i="1"/>
  <c r="I28" i="1"/>
  <c r="I88" i="1"/>
  <c r="I69" i="1"/>
  <c r="I101" i="1"/>
  <c r="I94" i="1"/>
  <c r="I80" i="1"/>
  <c r="I66" i="1"/>
  <c r="I85" i="1"/>
  <c r="I84" i="1"/>
  <c r="I86" i="1"/>
  <c r="I9" i="1"/>
  <c r="F105" i="1"/>
  <c r="G105" i="1"/>
  <c r="F104" i="1"/>
  <c r="G104" i="1"/>
  <c r="F103" i="1"/>
  <c r="G103" i="1"/>
  <c r="E105" i="1"/>
  <c r="E104" i="1"/>
  <c r="E103" i="1"/>
  <c r="D103" i="1"/>
  <c r="D105" i="1"/>
  <c r="D104" i="1"/>
  <c r="C104" i="1"/>
  <c r="C105" i="1"/>
  <c r="C103" i="1"/>
  <c r="P99" i="1" l="1"/>
  <c r="M105" i="1"/>
  <c r="P31" i="1"/>
  <c r="P81" i="1"/>
  <c r="P41" i="1"/>
  <c r="P57" i="1"/>
  <c r="P67" i="1"/>
  <c r="P100" i="1"/>
  <c r="P40" i="1"/>
  <c r="P54" i="1"/>
  <c r="P63" i="1"/>
  <c r="P77" i="1"/>
  <c r="P88" i="1"/>
  <c r="P9" i="1"/>
  <c r="P15" i="1"/>
  <c r="P30" i="1"/>
  <c r="P45" i="1"/>
  <c r="P53" i="1"/>
  <c r="P62" i="1"/>
  <c r="P26" i="1"/>
  <c r="P19" i="1"/>
  <c r="P29" i="1"/>
  <c r="P44" i="1"/>
  <c r="P52" i="1"/>
  <c r="P61" i="1"/>
  <c r="P78" i="1"/>
  <c r="P7" i="1"/>
  <c r="P33" i="1"/>
  <c r="P43" i="1"/>
  <c r="P56" i="1"/>
  <c r="P69" i="1"/>
  <c r="P80" i="1"/>
  <c r="P91" i="1"/>
  <c r="P6" i="1"/>
  <c r="P32" i="1"/>
  <c r="P55" i="1"/>
  <c r="P68" i="1"/>
  <c r="P92" i="1"/>
  <c r="P16" i="1"/>
  <c r="P39" i="1"/>
  <c r="P47" i="1"/>
  <c r="P71" i="1"/>
  <c r="P83" i="1"/>
  <c r="P95" i="1"/>
  <c r="P90" i="1"/>
  <c r="P25" i="1"/>
  <c r="P38" i="1"/>
  <c r="P58" i="1"/>
  <c r="P72" i="1"/>
  <c r="P96" i="1"/>
  <c r="P60" i="1"/>
  <c r="P70" i="1"/>
  <c r="P82" i="1"/>
  <c r="P94" i="1"/>
  <c r="P20" i="1"/>
  <c r="P59" i="1"/>
  <c r="P14" i="1"/>
  <c r="P24" i="1"/>
  <c r="P51" i="1"/>
  <c r="P66" i="1"/>
  <c r="P73" i="1"/>
  <c r="P85" i="1"/>
  <c r="P79" i="1"/>
  <c r="P21" i="1"/>
  <c r="P8" i="1"/>
  <c r="P46" i="1"/>
  <c r="P11" i="1"/>
  <c r="P5" i="1"/>
  <c r="P13" i="1"/>
  <c r="P36" i="1"/>
  <c r="P50" i="1"/>
  <c r="P75" i="1"/>
  <c r="P86" i="1"/>
  <c r="P97" i="1"/>
  <c r="P18" i="1"/>
  <c r="P17" i="1"/>
  <c r="P49" i="1"/>
  <c r="P64" i="1"/>
  <c r="P74" i="1"/>
  <c r="P87" i="1"/>
  <c r="P101" i="1"/>
  <c r="P10" i="1"/>
  <c r="P22" i="1"/>
  <c r="P12" i="1"/>
  <c r="P84" i="1"/>
  <c r="P89" i="1"/>
  <c r="P93" i="1"/>
  <c r="P98" i="1"/>
  <c r="P48" i="1"/>
  <c r="P42" i="1"/>
  <c r="P37" i="1"/>
  <c r="P34" i="1"/>
  <c r="P23" i="1"/>
  <c r="P4" i="1"/>
  <c r="P27" i="1"/>
  <c r="P76" i="1"/>
  <c r="P65" i="1"/>
  <c r="P35" i="1"/>
  <c r="P28" i="1"/>
  <c r="M103" i="1"/>
  <c r="M104" i="1"/>
  <c r="J103" i="1"/>
  <c r="I103" i="1"/>
  <c r="I104" i="1"/>
  <c r="I105" i="1"/>
  <c r="L103" i="1"/>
  <c r="L104" i="1"/>
  <c r="L105" i="1"/>
  <c r="J104" i="1"/>
  <c r="J105" i="1"/>
  <c r="K105" i="1"/>
  <c r="K103" i="1"/>
  <c r="K104" i="1"/>
  <c r="S8" i="1" l="1"/>
  <c r="S7" i="1"/>
  <c r="S6" i="1"/>
  <c r="S5" i="1"/>
</calcChain>
</file>

<file path=xl/sharedStrings.xml><?xml version="1.0" encoding="utf-8"?>
<sst xmlns="http://schemas.openxmlformats.org/spreadsheetml/2006/main" count="237" uniqueCount="184">
  <si>
    <t>HR PERFORMANCE ANALYTICS GRADEBOOK</t>
  </si>
  <si>
    <t>Points possible</t>
  </si>
  <si>
    <t>Last name</t>
  </si>
  <si>
    <t>First name</t>
  </si>
  <si>
    <t>Michael</t>
  </si>
  <si>
    <t>Ukeyima</t>
  </si>
  <si>
    <t>Joy</t>
  </si>
  <si>
    <t xml:space="preserve">Afanga </t>
  </si>
  <si>
    <t>Tinubu</t>
  </si>
  <si>
    <t>Bola</t>
  </si>
  <si>
    <t>Goodluck</t>
  </si>
  <si>
    <t>Dangote</t>
  </si>
  <si>
    <t>Aliko</t>
  </si>
  <si>
    <t>Tony</t>
  </si>
  <si>
    <t>Adeleke</t>
  </si>
  <si>
    <t>David</t>
  </si>
  <si>
    <t>Deji</t>
  </si>
  <si>
    <t xml:space="preserve">Ademola </t>
  </si>
  <si>
    <t>Victor</t>
  </si>
  <si>
    <t>Max</t>
  </si>
  <si>
    <t>Min</t>
  </si>
  <si>
    <t>Technical Skills Assessment</t>
  </si>
  <si>
    <t>Communication Skills Evaluation</t>
  </si>
  <si>
    <t>Financial Literacy Test</t>
  </si>
  <si>
    <t>Workplace Ethics Assessment</t>
  </si>
  <si>
    <t>Company Policy Assessment</t>
  </si>
  <si>
    <t>Rossi</t>
  </si>
  <si>
    <t>Alexander</t>
  </si>
  <si>
    <t>Smith</t>
  </si>
  <si>
    <t>Daniel</t>
  </si>
  <si>
    <t>Muller</t>
  </si>
  <si>
    <t>Johnson</t>
  </si>
  <si>
    <t>Lucas</t>
  </si>
  <si>
    <t>Dubois</t>
  </si>
  <si>
    <t>Wilson</t>
  </si>
  <si>
    <t>Olivia</t>
  </si>
  <si>
    <t>Sophia</t>
  </si>
  <si>
    <t>Emmanuel</t>
  </si>
  <si>
    <t>Marcus</t>
  </si>
  <si>
    <t>Joshua</t>
  </si>
  <si>
    <t>Taylor</t>
  </si>
  <si>
    <t>Anna</t>
  </si>
  <si>
    <t>Novak</t>
  </si>
  <si>
    <t>Thomas</t>
  </si>
  <si>
    <t>Brown</t>
  </si>
  <si>
    <t>Charlotte</t>
  </si>
  <si>
    <t>Schmidt</t>
  </si>
  <si>
    <t>James</t>
  </si>
  <si>
    <t>Garcia</t>
  </si>
  <si>
    <t>Isabella</t>
  </si>
  <si>
    <t>Evans</t>
  </si>
  <si>
    <t>Oliver</t>
  </si>
  <si>
    <t>Anderson</t>
  </si>
  <si>
    <t>Mia</t>
  </si>
  <si>
    <t>Williams</t>
  </si>
  <si>
    <t>Davidson</t>
  </si>
  <si>
    <t>Jackson</t>
  </si>
  <si>
    <t>Sandra</t>
  </si>
  <si>
    <t>Martinez</t>
  </si>
  <si>
    <t>Chloe</t>
  </si>
  <si>
    <t>Benjamin</t>
  </si>
  <si>
    <t>Adams</t>
  </si>
  <si>
    <t>Clark</t>
  </si>
  <si>
    <t>Amelia</t>
  </si>
  <si>
    <t>Samuel</t>
  </si>
  <si>
    <t>Thompson</t>
  </si>
  <si>
    <t>Lily</t>
  </si>
  <si>
    <t>Kowalski</t>
  </si>
  <si>
    <t>Whites</t>
  </si>
  <si>
    <t>Emily</t>
  </si>
  <si>
    <t>Walker</t>
  </si>
  <si>
    <t>Jacobs</t>
  </si>
  <si>
    <t>George</t>
  </si>
  <si>
    <t>Bush</t>
  </si>
  <si>
    <t>Lee</t>
  </si>
  <si>
    <t>Watson</t>
  </si>
  <si>
    <t>Jones</t>
  </si>
  <si>
    <t>Harper</t>
  </si>
  <si>
    <t>Jacob</t>
  </si>
  <si>
    <t>Trent</t>
  </si>
  <si>
    <t>Matthew</t>
  </si>
  <si>
    <t>Marks</t>
  </si>
  <si>
    <t>Zoe</t>
  </si>
  <si>
    <t>Grace</t>
  </si>
  <si>
    <t>Damian</t>
  </si>
  <si>
    <t>Lucy</t>
  </si>
  <si>
    <t>Christopher</t>
  </si>
  <si>
    <t>Sarah</t>
  </si>
  <si>
    <t>Mohammed</t>
  </si>
  <si>
    <t>Abdul</t>
  </si>
  <si>
    <t>Kia</t>
  </si>
  <si>
    <t>Liam</t>
  </si>
  <si>
    <t>Sim</t>
  </si>
  <si>
    <t>Sebastin</t>
  </si>
  <si>
    <t>Fernadez</t>
  </si>
  <si>
    <t>Leo</t>
  </si>
  <si>
    <t>Fredrick</t>
  </si>
  <si>
    <t>Maya</t>
  </si>
  <si>
    <t>Hugo</t>
  </si>
  <si>
    <t>Oscar</t>
  </si>
  <si>
    <t>Silvia</t>
  </si>
  <si>
    <t>Arthur</t>
  </si>
  <si>
    <t>Felix</t>
  </si>
  <si>
    <t>Cora</t>
  </si>
  <si>
    <t>Noah</t>
  </si>
  <si>
    <t>Clair</t>
  </si>
  <si>
    <t>Paul</t>
  </si>
  <si>
    <t>Theophilus</t>
  </si>
  <si>
    <t>Samson</t>
  </si>
  <si>
    <t>Oweah</t>
  </si>
  <si>
    <t>Judith</t>
  </si>
  <si>
    <t>Fancis</t>
  </si>
  <si>
    <t>Saints</t>
  </si>
  <si>
    <t>Joyce</t>
  </si>
  <si>
    <t>Callistus</t>
  </si>
  <si>
    <t>Nina</t>
  </si>
  <si>
    <t>Erik</t>
  </si>
  <si>
    <t>Nana</t>
  </si>
  <si>
    <t>Hap</t>
  </si>
  <si>
    <t>Pam</t>
  </si>
  <si>
    <t>Karl</t>
  </si>
  <si>
    <t>Greta</t>
  </si>
  <si>
    <t>Barnabas</t>
  </si>
  <si>
    <t>Olu</t>
  </si>
  <si>
    <t>Carl</t>
  </si>
  <si>
    <t>Elizabeth</t>
  </si>
  <si>
    <t>Francis</t>
  </si>
  <si>
    <t>Alphonsus</t>
  </si>
  <si>
    <t>Rolland</t>
  </si>
  <si>
    <t>Levi</t>
  </si>
  <si>
    <t>Rashford</t>
  </si>
  <si>
    <t>Elu</t>
  </si>
  <si>
    <t>Julius</t>
  </si>
  <si>
    <t>Berger</t>
  </si>
  <si>
    <t>Boniface</t>
  </si>
  <si>
    <t>Mathias</t>
  </si>
  <si>
    <t>Hycinth</t>
  </si>
  <si>
    <t>Peters</t>
  </si>
  <si>
    <t>Lookman</t>
  </si>
  <si>
    <t>Wellignton</t>
  </si>
  <si>
    <t>Osberth</t>
  </si>
  <si>
    <t>Livinus</t>
  </si>
  <si>
    <t>Gabriel</t>
  </si>
  <si>
    <t>Frederick</t>
  </si>
  <si>
    <t>Donalds</t>
  </si>
  <si>
    <t>Brace</t>
  </si>
  <si>
    <t>Pauls</t>
  </si>
  <si>
    <t>Charles</t>
  </si>
  <si>
    <t>Samuels</t>
  </si>
  <si>
    <t>Diamonds</t>
  </si>
  <si>
    <t>Prosper</t>
  </si>
  <si>
    <t>Bright</t>
  </si>
  <si>
    <t>Theodore</t>
  </si>
  <si>
    <t>Sammy</t>
  </si>
  <si>
    <t>Cosmas</t>
  </si>
  <si>
    <t>Phoebe</t>
  </si>
  <si>
    <t>Michaels</t>
  </si>
  <si>
    <t>Sweetlife</t>
  </si>
  <si>
    <t>Solomon</t>
  </si>
  <si>
    <t>Randy</t>
  </si>
  <si>
    <t>Femi</t>
  </si>
  <si>
    <t>Otedola</t>
  </si>
  <si>
    <t>Justin</t>
  </si>
  <si>
    <t>Friday</t>
  </si>
  <si>
    <t>Avg</t>
  </si>
  <si>
    <t>Fire/Query Employee with Less than 50%</t>
  </si>
  <si>
    <t>Overall Score</t>
  </si>
  <si>
    <t>Category</t>
  </si>
  <si>
    <t>Average Score</t>
  </si>
  <si>
    <t>HR PERFORMANCE INSIGHTS</t>
  </si>
  <si>
    <t>Insight 1: Technical Performance</t>
  </si>
  <si>
    <t xml:space="preserve">
Technical scores range from 0% to 100%, with an average of 70%. This indicates inconsistent performance, where some employees perform excellently while others require significant improvement.</t>
  </si>
  <si>
    <t>Insight 2: Communication Skills Evaluation</t>
  </si>
  <si>
    <t>Communication scores range from 5% to 100%, with an average of 74%. This shows generally good performance, but also highlights a gap between high and low performers.</t>
  </si>
  <si>
    <t>Insight 3: Financial Literacy Test</t>
  </si>
  <si>
    <t>Financial Literacy scores range from 0% to 100%, with a strong average of 79%, indicating relatively better overall understanding compared to other categories.</t>
  </si>
  <si>
    <t>Insight 4: Workplace Ethics Assessment</t>
  </si>
  <si>
    <t>Workplace Ethics scores range from 0% to 100%, with an average of 72%. This suggests mixed performance, with some employees showing strong ethical behavior while others need improvement.</t>
  </si>
  <si>
    <t>Insight 5: Company Policy Assessment</t>
  </si>
  <si>
    <t>Company Policy scores range from 0% to 100%, indicating high variability in understanding. This suggests a need for improved training and awareness of company policies.</t>
  </si>
  <si>
    <t>Insight 6: Overall Performance</t>
  </si>
  <si>
    <t>Overall employee performance shows strong results, with top performers scoring close to 100 indicating high productivity. The highest-performing employees achieved scores of 100, while the top 10 consistently scored above 95, showing a strong high-performance group.</t>
  </si>
  <si>
    <t>Insight 7: Overall Observation/Conclusion</t>
  </si>
  <si>
    <t>Across all categories, employee scores vary widely, with a mix of high and low performers. This indicates inconsistent performance levels and uneven skill distribution across the workforce.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</si>
</sst>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  <xf numFmtId="0" fontId="2" fillId="0" borderId="0" xfId="0" applyFont="1"/>
    <xf numFmtId="0" fontId="2" fillId="0" borderId="0" xfId="0" applyFont="1" applyAlignment="1">
      <alignment textRotation="90"/>
    </xf>
    <xf numFmtId="0" fontId="3" fillId="0" borderId="0" xfId="0" applyFont="1"/>
    <xf numFmtId="9" fontId="0" fillId="0" borderId="0" xfId="0" applyNumberFormat="1"/>
    <xf numFmtId="2" fontId="0" fillId="0" borderId="0" xfId="0" applyNumberFormat="1"/>
    <xf numFmtId="0" fontId="4" fillId="0" borderId="0" xfId="0" applyFont="1"/>
    <xf numFmtId="2" fontId="2" fillId="0" borderId="0" xfId="0" applyNumberFormat="1" applyFont="1" applyAlignment="1">
      <alignment textRotation="90"/>
    </xf>
    <xf numFmtId="2" fontId="0" fillId="0" borderId="0" xfId="1" applyNumberFormat="1" applyFont="1"/>
    <xf numFmtId="0" fontId="0" fillId="0" borderId="0" xfId="0" applyAlignment="1"/>
    <xf numFmtId="0" fontId="5" fillId="0" borderId="0" xfId="0" applyFont="1"/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AVERAGE EMPLOYEE SCORE BY CATEGORY</a:t>
            </a:r>
          </a:p>
          <a:p>
            <a:pPr>
              <a:defRPr b="1"/>
            </a:pPr>
            <a:endParaRPr lang="en-US" b="1"/>
          </a:p>
          <a:p>
            <a:pPr>
              <a:defRPr b="1"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'HR Employee Data Analysis'!$R$4:$R$8</c:f>
              <c:strCache>
                <c:ptCount val="5"/>
                <c:pt idx="0">
                  <c:v>Technical Skills Assessment</c:v>
                </c:pt>
                <c:pt idx="1">
                  <c:v>Communication Skills Evaluation</c:v>
                </c:pt>
                <c:pt idx="2">
                  <c:v>Financial Literacy Test</c:v>
                </c:pt>
                <c:pt idx="3">
                  <c:v>Workplace Ethics Assessment</c:v>
                </c:pt>
                <c:pt idx="4">
                  <c:v>Company Policy Assessment</c:v>
                </c:pt>
              </c:strCache>
            </c:strRef>
          </c:cat>
          <c:val>
            <c:numRef>
              <c:f>'HR Employee Data Analysis'!$S$4:$S$8</c:f>
              <c:numCache>
                <c:formatCode>0%</c:formatCode>
                <c:ptCount val="5"/>
                <c:pt idx="0">
                  <c:v>0.70270761770054557</c:v>
                </c:pt>
                <c:pt idx="1">
                  <c:v>0.74404425136391172</c:v>
                </c:pt>
                <c:pt idx="2">
                  <c:v>0.78539098807839991</c:v>
                </c:pt>
                <c:pt idx="3">
                  <c:v>0.72204485754697911</c:v>
                </c:pt>
                <c:pt idx="4">
                  <c:v>0.74938371388159219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7-4DA0-BD9F-E46F7E7053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33076960"/>
        <c:axId val="433074008"/>
      </c:barChart>
      <c:catAx>
        <c:axId val="433076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3074008"/>
        <c:crosses val="autoZero"/>
        <c:auto val="1"/>
        <c:lblAlgn val="ctr"/>
        <c:lblOffset val="100"/>
        <c:noMultiLvlLbl val="0"/>
      </c:catAx>
      <c:valAx>
        <c:axId val="43307400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3307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EMPLOYEE PERFOMERS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'HR Employee Data Analysis'!$A$4:$A$13</c:f>
              <c:strCache>
                <c:ptCount val="10"/>
                <c:pt idx="0">
                  <c:v>Alexander</c:v>
                </c:pt>
                <c:pt idx="1">
                  <c:v>Cora</c:v>
                </c:pt>
                <c:pt idx="2">
                  <c:v>Hap</c:v>
                </c:pt>
                <c:pt idx="3">
                  <c:v>Tony</c:v>
                </c:pt>
                <c:pt idx="4">
                  <c:v>Michael</c:v>
                </c:pt>
                <c:pt idx="5">
                  <c:v>Ukeyima</c:v>
                </c:pt>
                <c:pt idx="6">
                  <c:v>Novak</c:v>
                </c:pt>
                <c:pt idx="7">
                  <c:v>Daniel</c:v>
                </c:pt>
                <c:pt idx="8">
                  <c:v>Afanga </c:v>
                </c:pt>
                <c:pt idx="9">
                  <c:v>Taylor</c:v>
                </c:pt>
              </c:strCache>
            </c:strRef>
          </c:cat>
          <c:val>
            <c:numRef>
              <c:f>'HR Employee Data Analysis'!$N$4:$N$13</c:f>
              <c:numCache>
                <c:formatCode>0.00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99</c:v>
                </c:pt>
                <c:pt idx="7">
                  <c:v>98</c:v>
                </c:pt>
                <c:pt idx="8">
                  <c:v>98</c:v>
                </c:pt>
                <c:pt idx="9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B-42DB-89F0-6C3FDB5FB6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8646576"/>
        <c:axId val="638651168"/>
      </c:barChart>
      <c:catAx>
        <c:axId val="638646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8651168"/>
        <c:crosses val="autoZero"/>
        <c:auto val="1"/>
        <c:lblAlgn val="ctr"/>
        <c:lblOffset val="100"/>
        <c:noMultiLvlLbl val="0"/>
      </c:catAx>
      <c:valAx>
        <c:axId val="638651168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63864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325856</xdr:colOff>
      <xdr:row>1</xdr:row>
      <xdr:rowOff>0</xdr:rowOff>
    </xdr:from>
    <xdr:to>
      <xdr:col>18</xdr:col>
      <xdr:colOff>20721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C22E29-F9AC-432E-98BC-F8C39EDFE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317500</xdr:colOff>
      <xdr:row>1</xdr:row>
      <xdr:rowOff>1</xdr:rowOff>
    </xdr:from>
    <xdr:to>
      <xdr:col>8</xdr:col>
      <xdr:colOff>10026</xdr:colOff>
      <xdr:row>15</xdr:row>
      <xdr:rowOff>169780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77B892-6D17-426D-B7C5-B81911FA8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B786-FD23-4CF8-91B5-30FE22B21E65}">
  <dimension ref="A1:U105"/>
  <sheetViews>
    <sheetView tabSelected="1" zoomScale="70" zoomScaleNormal="70" workbookViewId="0">
      <selection activeCell="B76" sqref="B76"/>
    </sheetView>
  </sheetViews>
  <sheetFormatPr defaultRowHeight="14.5" x14ac:dyDescent="0.35"/>
  <cols>
    <col min="1" max="1" width="12.453125" customWidth="1"/>
    <col min="2" max="2" width="29.81640625" customWidth="1"/>
    <col min="3" max="3" width="7.6328125" customWidth="1"/>
    <col min="4" max="4" width="6.54296875" customWidth="1"/>
    <col min="5" max="5" width="7.36328125" customWidth="1"/>
    <col min="6" max="6" width="6.453125" customWidth="1"/>
    <col min="14" max="14" width="11.1796875" style="7" customWidth="1"/>
    <col min="18" max="18" width="28.6328125" customWidth="1"/>
    <col min="19" max="19" width="13.453125" customWidth="1"/>
  </cols>
  <sheetData>
    <row r="1" spans="1:21" ht="210.5" x14ac:dyDescent="0.35">
      <c r="A1" s="3" t="s">
        <v>0</v>
      </c>
      <c r="B1" s="3"/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1"/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9" t="s">
        <v>166</v>
      </c>
      <c r="P1" s="4" t="s">
        <v>165</v>
      </c>
    </row>
    <row r="2" spans="1:21" ht="15.5" x14ac:dyDescent="0.35">
      <c r="A2" s="3"/>
      <c r="B2" s="5" t="s">
        <v>1</v>
      </c>
      <c r="C2" s="3">
        <v>30</v>
      </c>
      <c r="D2" s="3">
        <v>20</v>
      </c>
      <c r="E2" s="3">
        <v>15</v>
      </c>
      <c r="F2" s="3">
        <v>20</v>
      </c>
      <c r="G2" s="3">
        <v>15</v>
      </c>
      <c r="I2" s="3"/>
      <c r="J2" s="3"/>
      <c r="K2" s="3"/>
      <c r="L2" s="3"/>
      <c r="M2" s="3"/>
      <c r="R2" s="8"/>
      <c r="S2" s="8"/>
    </row>
    <row r="3" spans="1:21" ht="15.5" x14ac:dyDescent="0.35">
      <c r="A3" s="5" t="s">
        <v>2</v>
      </c>
      <c r="B3" s="5" t="s">
        <v>3</v>
      </c>
      <c r="C3" s="3"/>
      <c r="D3" s="3"/>
      <c r="E3" s="3"/>
      <c r="F3" s="3"/>
      <c r="R3" s="8" t="s">
        <v>167</v>
      </c>
      <c r="S3" s="8" t="s">
        <v>168</v>
      </c>
      <c r="U3" s="6"/>
    </row>
    <row r="4" spans="1:21" ht="15.5" x14ac:dyDescent="0.35">
      <c r="A4" s="3" t="s">
        <v>27</v>
      </c>
      <c r="B4" s="3" t="s">
        <v>28</v>
      </c>
      <c r="C4">
        <v>30</v>
      </c>
      <c r="D4">
        <v>20</v>
      </c>
      <c r="E4">
        <v>15</v>
      </c>
      <c r="F4">
        <v>20</v>
      </c>
      <c r="G4">
        <v>15</v>
      </c>
      <c r="I4" s="2">
        <f>C4/C$2</f>
        <v>1</v>
      </c>
      <c r="J4" s="2">
        <f t="shared" ref="J4:J35" si="0">D4/D$2</f>
        <v>1</v>
      </c>
      <c r="K4" s="2">
        <f t="shared" ref="K4:K35" si="1">E4/E$2</f>
        <v>1</v>
      </c>
      <c r="L4" s="2">
        <f t="shared" ref="L4:L35" si="2">F4/F$2</f>
        <v>1</v>
      </c>
      <c r="M4" s="2">
        <f>G4/G$2</f>
        <v>1</v>
      </c>
      <c r="N4" s="10">
        <f t="shared" ref="N4:N35" si="3">C4+D4+E4+F4+G4</f>
        <v>100</v>
      </c>
      <c r="P4" t="b">
        <f>OR(I4&lt;0.05,J4&lt;0.05,K4&lt;0.05,L4&lt;0.05,M4&lt;0.05)</f>
        <v>0</v>
      </c>
      <c r="R4" t="s">
        <v>21</v>
      </c>
      <c r="S4" s="2">
        <f>AVERAGE(I:I)</f>
        <v>0.70270761770054557</v>
      </c>
      <c r="U4" s="6"/>
    </row>
    <row r="5" spans="1:21" ht="15.5" x14ac:dyDescent="0.35">
      <c r="A5" s="3" t="s">
        <v>103</v>
      </c>
      <c r="B5" s="3" t="s">
        <v>34</v>
      </c>
      <c r="C5">
        <v>30</v>
      </c>
      <c r="D5">
        <v>20</v>
      </c>
      <c r="E5">
        <v>15</v>
      </c>
      <c r="F5">
        <v>20</v>
      </c>
      <c r="G5">
        <v>15</v>
      </c>
      <c r="I5" s="2">
        <f>C5/C$2</f>
        <v>1</v>
      </c>
      <c r="J5" s="2">
        <f>D5/D$2</f>
        <v>1</v>
      </c>
      <c r="K5" s="2">
        <f>E5/E$2</f>
        <v>1</v>
      </c>
      <c r="L5" s="2">
        <f>F5/F$2</f>
        <v>1</v>
      </c>
      <c r="M5" s="2">
        <f>G5/G$2</f>
        <v>1</v>
      </c>
      <c r="N5" s="10">
        <f>C5+D5+E5+F5+G5</f>
        <v>100</v>
      </c>
      <c r="P5" t="b">
        <f>OR(I5&lt;0.05,J5&lt;0.05,K5&lt;0.05,L5&lt;0.05,M5&lt;0.05)</f>
        <v>0</v>
      </c>
      <c r="R5" t="s">
        <v>22</v>
      </c>
      <c r="S5" s="2">
        <f>AVERAGE(J:J)</f>
        <v>0.74404425136391172</v>
      </c>
    </row>
    <row r="6" spans="1:21" ht="15.5" x14ac:dyDescent="0.35">
      <c r="A6" s="3" t="s">
        <v>118</v>
      </c>
      <c r="B6" s="3" t="s">
        <v>119</v>
      </c>
      <c r="C6">
        <v>30</v>
      </c>
      <c r="D6">
        <v>20</v>
      </c>
      <c r="E6">
        <v>15</v>
      </c>
      <c r="F6">
        <v>20</v>
      </c>
      <c r="G6">
        <v>15</v>
      </c>
      <c r="I6" s="2">
        <f>C6/C$2</f>
        <v>1</v>
      </c>
      <c r="J6" s="2">
        <f>D6/D$2</f>
        <v>1</v>
      </c>
      <c r="K6" s="2">
        <f>E6/E$2</f>
        <v>1</v>
      </c>
      <c r="L6" s="2">
        <f>F6/F$2</f>
        <v>1</v>
      </c>
      <c r="M6" s="2">
        <f>G6/G$2</f>
        <v>1</v>
      </c>
      <c r="N6" s="10">
        <f>C6+D6+E6+F6+G6</f>
        <v>100</v>
      </c>
      <c r="P6" t="b">
        <f>OR(I6&lt;0.05,J6&lt;0.05,K6&lt;0.05,L6&lt;0.05,M6&lt;0.05)</f>
        <v>0</v>
      </c>
      <c r="R6" t="s">
        <v>23</v>
      </c>
      <c r="S6" s="2">
        <f>AVERAGE(K:K)</f>
        <v>0.78539098807839991</v>
      </c>
    </row>
    <row r="7" spans="1:21" ht="15.5" x14ac:dyDescent="0.35">
      <c r="A7" s="3" t="s">
        <v>13</v>
      </c>
      <c r="B7" s="3" t="s">
        <v>131</v>
      </c>
      <c r="C7">
        <v>30</v>
      </c>
      <c r="D7">
        <v>20</v>
      </c>
      <c r="E7">
        <v>15</v>
      </c>
      <c r="F7">
        <v>20</v>
      </c>
      <c r="G7">
        <v>15</v>
      </c>
      <c r="I7" s="2">
        <f>C7/C$2</f>
        <v>1</v>
      </c>
      <c r="J7" s="2">
        <f>D7/D$2</f>
        <v>1</v>
      </c>
      <c r="K7" s="2">
        <f>E7/E$2</f>
        <v>1</v>
      </c>
      <c r="L7" s="2">
        <f>F7/F$2</f>
        <v>1</v>
      </c>
      <c r="M7" s="2">
        <f>G7/G$2</f>
        <v>1</v>
      </c>
      <c r="N7" s="10">
        <f>C7+D7+E7+F7+G7</f>
        <v>100</v>
      </c>
      <c r="P7" t="b">
        <f>OR(I7&lt;0.05,J7&lt;0.05,K7&lt;0.05,L7&lt;0.05,M7&lt;0.05)</f>
        <v>0</v>
      </c>
      <c r="R7" t="s">
        <v>24</v>
      </c>
      <c r="S7" s="2">
        <f>AVERAGE(L:L)</f>
        <v>0.72204485754697911</v>
      </c>
    </row>
    <row r="8" spans="1:21" x14ac:dyDescent="0.35">
      <c r="A8" t="s">
        <v>4</v>
      </c>
      <c r="B8" t="s">
        <v>4</v>
      </c>
      <c r="C8">
        <v>30</v>
      </c>
      <c r="D8">
        <v>20</v>
      </c>
      <c r="E8">
        <v>15</v>
      </c>
      <c r="F8">
        <v>20</v>
      </c>
      <c r="G8">
        <v>15</v>
      </c>
      <c r="I8" s="2">
        <f>C8/C$2</f>
        <v>1</v>
      </c>
      <c r="J8" s="2">
        <f>D8/D$2</f>
        <v>1</v>
      </c>
      <c r="K8" s="2">
        <f>E8/E$2</f>
        <v>1</v>
      </c>
      <c r="L8" s="2">
        <f>F8/F$2</f>
        <v>1</v>
      </c>
      <c r="M8" s="2">
        <f>G8/G$2</f>
        <v>1</v>
      </c>
      <c r="N8" s="10">
        <f>C8+D8+E8+F8+G8</f>
        <v>100</v>
      </c>
      <c r="P8" t="b">
        <f>OR(I8&lt;0.05,J8&lt;0.05,K8&lt;0.05,L8&lt;0.05,M8&lt;0.05)</f>
        <v>0</v>
      </c>
      <c r="R8" t="s">
        <v>25</v>
      </c>
      <c r="S8" s="2">
        <f>AVERAGE(M:M)</f>
        <v>0.74938371388159219</v>
      </c>
    </row>
    <row r="9" spans="1:21" x14ac:dyDescent="0.35">
      <c r="A9" t="s">
        <v>5</v>
      </c>
      <c r="B9" t="s">
        <v>4</v>
      </c>
      <c r="C9">
        <v>30</v>
      </c>
      <c r="D9">
        <v>20</v>
      </c>
      <c r="E9">
        <v>15</v>
      </c>
      <c r="F9">
        <v>20</v>
      </c>
      <c r="G9">
        <v>15</v>
      </c>
      <c r="I9" s="2">
        <f>C9/C$2</f>
        <v>1</v>
      </c>
      <c r="J9" s="2">
        <f>D9/D$2</f>
        <v>1</v>
      </c>
      <c r="K9" s="2">
        <f>E9/E$2</f>
        <v>1</v>
      </c>
      <c r="L9" s="2">
        <f>F9/F$2</f>
        <v>1</v>
      </c>
      <c r="M9" s="2">
        <f>G9/G$2</f>
        <v>1</v>
      </c>
      <c r="N9" s="10">
        <f>C9+D9+E9+F9+G9</f>
        <v>100</v>
      </c>
      <c r="P9" t="b">
        <f>OR(I9&lt;0.05,J9&lt;0.05,K9&lt;0.05,L9&lt;0.05,M9&lt;0.05)</f>
        <v>0</v>
      </c>
    </row>
    <row r="10" spans="1:21" ht="15.5" x14ac:dyDescent="0.35">
      <c r="A10" s="3" t="s">
        <v>42</v>
      </c>
      <c r="B10" s="3" t="s">
        <v>98</v>
      </c>
      <c r="C10">
        <v>30</v>
      </c>
      <c r="D10">
        <v>20</v>
      </c>
      <c r="E10">
        <v>15</v>
      </c>
      <c r="F10">
        <v>19</v>
      </c>
      <c r="G10">
        <v>15</v>
      </c>
      <c r="I10" s="2">
        <f>C10/C$2</f>
        <v>1</v>
      </c>
      <c r="J10" s="2">
        <f>D10/D$2</f>
        <v>1</v>
      </c>
      <c r="K10" s="2">
        <f>E10/E$2</f>
        <v>1</v>
      </c>
      <c r="L10" s="2">
        <f>F10/F$2</f>
        <v>0.95</v>
      </c>
      <c r="M10" s="2">
        <f>G10/G$2</f>
        <v>1</v>
      </c>
      <c r="N10" s="10">
        <f>C10+D10+E10+F10+G10</f>
        <v>99</v>
      </c>
      <c r="P10" t="b">
        <f>OR(I10&lt;0.05,J10&lt;0.05,K10&lt;0.05,L10&lt;0.05,M10&lt;0.05)</f>
        <v>0</v>
      </c>
    </row>
    <row r="11" spans="1:21" ht="15.5" x14ac:dyDescent="0.35">
      <c r="A11" s="3" t="s">
        <v>29</v>
      </c>
      <c r="B11" s="3" t="s">
        <v>30</v>
      </c>
      <c r="C11">
        <v>30</v>
      </c>
      <c r="D11">
        <v>18</v>
      </c>
      <c r="E11">
        <v>15</v>
      </c>
      <c r="F11">
        <v>20</v>
      </c>
      <c r="G11">
        <v>15</v>
      </c>
      <c r="I11" s="2">
        <f>C11/C$2</f>
        <v>1</v>
      </c>
      <c r="J11" s="2">
        <f>D11/D$2</f>
        <v>0.9</v>
      </c>
      <c r="K11" s="2">
        <f>E11/E$2</f>
        <v>1</v>
      </c>
      <c r="L11" s="2">
        <f>F11/F$2</f>
        <v>1</v>
      </c>
      <c r="M11" s="2">
        <f>G11/G$2</f>
        <v>1</v>
      </c>
      <c r="N11" s="10">
        <f>C11+D11+E11+F11+G11</f>
        <v>98</v>
      </c>
      <c r="P11" t="b">
        <f>OR(I11&lt;0.05,J11&lt;0.05,K11&lt;0.05,L11&lt;0.05,M11&lt;0.05)</f>
        <v>0</v>
      </c>
    </row>
    <row r="12" spans="1:21" x14ac:dyDescent="0.35">
      <c r="A12" t="s">
        <v>7</v>
      </c>
      <c r="B12" t="s">
        <v>6</v>
      </c>
      <c r="C12">
        <v>30</v>
      </c>
      <c r="D12">
        <v>20</v>
      </c>
      <c r="E12">
        <v>15</v>
      </c>
      <c r="F12">
        <v>20</v>
      </c>
      <c r="G12">
        <v>13</v>
      </c>
      <c r="I12" s="2">
        <f>C12/C$2</f>
        <v>1</v>
      </c>
      <c r="J12" s="2">
        <f>D12/D$2</f>
        <v>1</v>
      </c>
      <c r="K12" s="2">
        <f>E12/E$2</f>
        <v>1</v>
      </c>
      <c r="L12" s="2">
        <f>F12/F$2</f>
        <v>1</v>
      </c>
      <c r="M12" s="2">
        <f>G12/G$2</f>
        <v>0.8666666666666667</v>
      </c>
      <c r="N12" s="10">
        <f>C12+D12+E12+F12+G12</f>
        <v>98</v>
      </c>
      <c r="P12" t="b">
        <f>OR(I12&lt;0.05,J12&lt;0.05,K12&lt;0.05,L12&lt;0.05,M12&lt;0.05)</f>
        <v>0</v>
      </c>
    </row>
    <row r="13" spans="1:21" ht="15.5" x14ac:dyDescent="0.35">
      <c r="A13" s="3" t="s">
        <v>40</v>
      </c>
      <c r="B13" s="3" t="s">
        <v>92</v>
      </c>
      <c r="C13">
        <v>30</v>
      </c>
      <c r="D13">
        <v>20</v>
      </c>
      <c r="E13">
        <v>15</v>
      </c>
      <c r="F13">
        <v>17</v>
      </c>
      <c r="G13">
        <v>15</v>
      </c>
      <c r="I13" s="2">
        <f>C13/C$2</f>
        <v>1</v>
      </c>
      <c r="J13" s="2">
        <f>D13/D$2</f>
        <v>1</v>
      </c>
      <c r="K13" s="2">
        <f>E13/E$2</f>
        <v>1</v>
      </c>
      <c r="L13" s="2">
        <f>F13/F$2</f>
        <v>0.85</v>
      </c>
      <c r="M13" s="2">
        <f>G13/G$2</f>
        <v>1</v>
      </c>
      <c r="N13" s="10">
        <f>C13+D13+E13+F13+G13</f>
        <v>97</v>
      </c>
      <c r="P13" t="b">
        <f>OR(I13&lt;0.05,J13&lt;0.05,K13&lt;0.05,L13&lt;0.05,M13&lt;0.05)</f>
        <v>0</v>
      </c>
    </row>
    <row r="14" spans="1:21" ht="15.5" x14ac:dyDescent="0.35">
      <c r="A14" s="3" t="s">
        <v>117</v>
      </c>
      <c r="B14" s="3" t="s">
        <v>83</v>
      </c>
      <c r="C14">
        <v>28</v>
      </c>
      <c r="D14">
        <v>20</v>
      </c>
      <c r="E14">
        <v>15</v>
      </c>
      <c r="F14">
        <v>20</v>
      </c>
      <c r="G14">
        <v>14</v>
      </c>
      <c r="I14" s="2">
        <f>C14/C$2</f>
        <v>0.93333333333333335</v>
      </c>
      <c r="J14" s="2">
        <f>D14/D$2</f>
        <v>1</v>
      </c>
      <c r="K14" s="2">
        <f>E14/E$2</f>
        <v>1</v>
      </c>
      <c r="L14" s="2">
        <f>F14/F$2</f>
        <v>1</v>
      </c>
      <c r="M14" s="2">
        <f>G14/G$2</f>
        <v>0.93333333333333335</v>
      </c>
      <c r="N14" s="10">
        <f>C14+D14+E14+F14+G14</f>
        <v>97</v>
      </c>
      <c r="P14" t="b">
        <f>OR(I14&lt;0.05,J14&lt;0.05,K14&lt;0.05,L14&lt;0.05,M14&lt;0.05)</f>
        <v>0</v>
      </c>
    </row>
    <row r="15" spans="1:21" ht="15.5" x14ac:dyDescent="0.35">
      <c r="A15" s="3" t="s">
        <v>46</v>
      </c>
      <c r="B15" s="3" t="s">
        <v>47</v>
      </c>
      <c r="C15">
        <v>30</v>
      </c>
      <c r="D15">
        <v>20</v>
      </c>
      <c r="E15">
        <v>11</v>
      </c>
      <c r="F15">
        <v>20</v>
      </c>
      <c r="G15">
        <v>15</v>
      </c>
      <c r="I15" s="2">
        <f>C15/C$2</f>
        <v>1</v>
      </c>
      <c r="J15" s="2">
        <f>D15/D$2</f>
        <v>1</v>
      </c>
      <c r="K15" s="2">
        <f>E15/E$2</f>
        <v>0.73333333333333328</v>
      </c>
      <c r="L15" s="2">
        <f>F15/F$2</f>
        <v>1</v>
      </c>
      <c r="M15" s="2">
        <f>G15/G$2</f>
        <v>1</v>
      </c>
      <c r="N15" s="10">
        <f>C15+D15+E15+F15+G15</f>
        <v>96</v>
      </c>
      <c r="P15" t="b">
        <f>OR(I15&lt;0.05,J15&lt;0.05,K15&lt;0.05,L15&lt;0.05,M15&lt;0.05)</f>
        <v>0</v>
      </c>
    </row>
    <row r="16" spans="1:21" ht="15.5" x14ac:dyDescent="0.35">
      <c r="A16" s="3" t="s">
        <v>54</v>
      </c>
      <c r="B16" s="3" t="s">
        <v>57</v>
      </c>
      <c r="C16">
        <v>28</v>
      </c>
      <c r="D16">
        <v>20</v>
      </c>
      <c r="E16">
        <v>15</v>
      </c>
      <c r="F16">
        <v>20</v>
      </c>
      <c r="G16">
        <v>13</v>
      </c>
      <c r="I16" s="2">
        <f>C16/C$2</f>
        <v>0.93333333333333335</v>
      </c>
      <c r="J16" s="2">
        <f>D16/D$2</f>
        <v>1</v>
      </c>
      <c r="K16" s="2">
        <f>E16/E$2</f>
        <v>1</v>
      </c>
      <c r="L16" s="2">
        <f>F16/F$2</f>
        <v>1</v>
      </c>
      <c r="M16" s="2">
        <f>G16/G$2</f>
        <v>0.8666666666666667</v>
      </c>
      <c r="N16" s="10">
        <f>C16+D16+E16+F16+G16</f>
        <v>96</v>
      </c>
      <c r="P16" t="b">
        <f>OR(I16&lt;0.05,J16&lt;0.05,K16&lt;0.05,L16&lt;0.05,M16&lt;0.05)</f>
        <v>0</v>
      </c>
    </row>
    <row r="17" spans="1:16" ht="15.5" x14ac:dyDescent="0.35">
      <c r="A17" s="3" t="s">
        <v>26</v>
      </c>
      <c r="B17" s="3" t="s">
        <v>116</v>
      </c>
      <c r="C17">
        <v>29</v>
      </c>
      <c r="D17">
        <v>20</v>
      </c>
      <c r="E17">
        <v>15</v>
      </c>
      <c r="F17">
        <v>17</v>
      </c>
      <c r="G17">
        <v>15</v>
      </c>
      <c r="I17" s="2">
        <f>C17/C$2</f>
        <v>0.96666666666666667</v>
      </c>
      <c r="J17" s="2">
        <f>D17/D$2</f>
        <v>1</v>
      </c>
      <c r="K17" s="2">
        <f>E17/E$2</f>
        <v>1</v>
      </c>
      <c r="L17" s="2">
        <f>F17/F$2</f>
        <v>0.85</v>
      </c>
      <c r="M17" s="2">
        <f>G17/G$2</f>
        <v>1</v>
      </c>
      <c r="N17" s="10">
        <f>C17+D17+E17+F17+G17</f>
        <v>96</v>
      </c>
      <c r="P17" t="b">
        <f>OR(I17&lt;0.05,J17&lt;0.05,K17&lt;0.05,L17&lt;0.05,M17&lt;0.05)</f>
        <v>0</v>
      </c>
    </row>
    <row r="18" spans="1:16" ht="15.5" x14ac:dyDescent="0.35">
      <c r="A18" s="3" t="s">
        <v>123</v>
      </c>
      <c r="B18" s="3" t="s">
        <v>34</v>
      </c>
      <c r="C18">
        <v>30</v>
      </c>
      <c r="D18">
        <v>20</v>
      </c>
      <c r="E18">
        <v>15</v>
      </c>
      <c r="F18">
        <v>15</v>
      </c>
      <c r="G18">
        <v>15</v>
      </c>
      <c r="I18" s="2">
        <f>C18/C$2</f>
        <v>1</v>
      </c>
      <c r="J18" s="2">
        <f>D18/D$2</f>
        <v>1</v>
      </c>
      <c r="K18" s="2">
        <f>E18/E$2</f>
        <v>1</v>
      </c>
      <c r="L18" s="2">
        <f>F18/F$2</f>
        <v>0.75</v>
      </c>
      <c r="M18" s="2">
        <f>G18/G$2</f>
        <v>1</v>
      </c>
      <c r="N18" s="10">
        <f>C18+D18+E18+F18+G18</f>
        <v>95</v>
      </c>
      <c r="P18" t="b">
        <f>OR(I18&lt;0.05,J18&lt;0.05,K18&lt;0.05,L18&lt;0.05,M18&lt;0.05)</f>
        <v>0</v>
      </c>
    </row>
    <row r="19" spans="1:16" x14ac:dyDescent="0.35">
      <c r="A19" t="s">
        <v>5</v>
      </c>
      <c r="B19" t="s">
        <v>6</v>
      </c>
      <c r="C19">
        <v>30</v>
      </c>
      <c r="D19">
        <v>20</v>
      </c>
      <c r="E19">
        <v>15</v>
      </c>
      <c r="F19">
        <v>15</v>
      </c>
      <c r="G19">
        <v>15</v>
      </c>
      <c r="I19" s="2">
        <f>C19/C$2</f>
        <v>1</v>
      </c>
      <c r="J19" s="2">
        <f>D19/D$2</f>
        <v>1</v>
      </c>
      <c r="K19" s="2">
        <f>E19/E$2</f>
        <v>1</v>
      </c>
      <c r="L19" s="2">
        <f>F19/F$2</f>
        <v>0.75</v>
      </c>
      <c r="M19" s="2">
        <f>G19/G$2</f>
        <v>1</v>
      </c>
      <c r="N19" s="10">
        <f>C19+D19+E19+F19+G19</f>
        <v>95</v>
      </c>
      <c r="P19" t="b">
        <f>OR(I19&lt;0.05,J19&lt;0.05,K19&lt;0.05,L19&lt;0.05,M19&lt;0.05)</f>
        <v>0</v>
      </c>
    </row>
    <row r="20" spans="1:16" ht="15.5" x14ac:dyDescent="0.35">
      <c r="A20" s="3" t="s">
        <v>52</v>
      </c>
      <c r="B20" s="3" t="s">
        <v>82</v>
      </c>
      <c r="C20">
        <v>30</v>
      </c>
      <c r="D20">
        <v>14</v>
      </c>
      <c r="E20">
        <v>15</v>
      </c>
      <c r="F20">
        <v>20</v>
      </c>
      <c r="G20">
        <v>15</v>
      </c>
      <c r="I20" s="2">
        <f>C20/C$2</f>
        <v>1</v>
      </c>
      <c r="J20" s="2">
        <f>D20/D$2</f>
        <v>0.7</v>
      </c>
      <c r="K20" s="2">
        <f>E20/E$2</f>
        <v>1</v>
      </c>
      <c r="L20" s="2">
        <f>F20/F$2</f>
        <v>1</v>
      </c>
      <c r="M20" s="2">
        <f>G20/G$2</f>
        <v>1</v>
      </c>
      <c r="N20" s="10">
        <f>C20+D20+E20+F20+G20</f>
        <v>94</v>
      </c>
      <c r="P20" t="b">
        <f>OR(I20&lt;0.05,J20&lt;0.05,K20&lt;0.05,L20&lt;0.05,M20&lt;0.05)</f>
        <v>0</v>
      </c>
    </row>
    <row r="21" spans="1:16" ht="15.5" x14ac:dyDescent="0.35">
      <c r="A21" s="3" t="s">
        <v>4</v>
      </c>
      <c r="B21" s="3" t="s">
        <v>6</v>
      </c>
      <c r="C21">
        <v>30</v>
      </c>
      <c r="D21">
        <v>20</v>
      </c>
      <c r="E21">
        <v>15</v>
      </c>
      <c r="F21">
        <v>14</v>
      </c>
      <c r="G21">
        <v>15</v>
      </c>
      <c r="I21" s="2">
        <f>C21/C$2</f>
        <v>1</v>
      </c>
      <c r="J21" s="2">
        <f>D21/D$2</f>
        <v>1</v>
      </c>
      <c r="K21" s="2">
        <f>E21/E$2</f>
        <v>1</v>
      </c>
      <c r="L21" s="2">
        <f>F21/F$2</f>
        <v>0.7</v>
      </c>
      <c r="M21" s="2">
        <f>G21/G$2</f>
        <v>1</v>
      </c>
      <c r="N21" s="10">
        <f>C21+D21+E21+F21+G21</f>
        <v>94</v>
      </c>
      <c r="P21" t="b">
        <f>OR(I21&lt;0.05,J21&lt;0.05,K21&lt;0.05,L21&lt;0.05,M21&lt;0.05)</f>
        <v>0</v>
      </c>
    </row>
    <row r="22" spans="1:16" ht="15.5" x14ac:dyDescent="0.35">
      <c r="A22" s="3" t="s">
        <v>111</v>
      </c>
      <c r="B22" s="3" t="s">
        <v>112</v>
      </c>
      <c r="C22">
        <v>30</v>
      </c>
      <c r="D22">
        <v>20</v>
      </c>
      <c r="E22">
        <v>15</v>
      </c>
      <c r="F22">
        <v>18</v>
      </c>
      <c r="G22">
        <v>11</v>
      </c>
      <c r="I22" s="2">
        <f>C22/C$2</f>
        <v>1</v>
      </c>
      <c r="J22" s="2">
        <f>D22/D$2</f>
        <v>1</v>
      </c>
      <c r="K22" s="2">
        <f>E22/E$2</f>
        <v>1</v>
      </c>
      <c r="L22" s="2">
        <f>F22/F$2</f>
        <v>0.9</v>
      </c>
      <c r="M22" s="2">
        <f>G22/G$2</f>
        <v>0.73333333333333328</v>
      </c>
      <c r="N22" s="10">
        <f>C22+D22+E22+F22+G22</f>
        <v>94</v>
      </c>
      <c r="P22" t="b">
        <f>OR(I22&lt;0.05,J22&lt;0.05,K22&lt;0.05,L22&lt;0.05,M22&lt;0.05)</f>
        <v>0</v>
      </c>
    </row>
    <row r="23" spans="1:16" ht="15.5" x14ac:dyDescent="0.35">
      <c r="A23" s="3" t="s">
        <v>128</v>
      </c>
      <c r="B23" s="3" t="s">
        <v>129</v>
      </c>
      <c r="C23">
        <v>24</v>
      </c>
      <c r="D23">
        <v>20</v>
      </c>
      <c r="E23">
        <v>15</v>
      </c>
      <c r="F23">
        <v>20</v>
      </c>
      <c r="G23">
        <v>15</v>
      </c>
      <c r="I23" s="2">
        <f>C23/C$2</f>
        <v>0.8</v>
      </c>
      <c r="J23" s="2">
        <f>D23/D$2</f>
        <v>1</v>
      </c>
      <c r="K23" s="2">
        <f>E23/E$2</f>
        <v>1</v>
      </c>
      <c r="L23" s="2">
        <f>F23/F$2</f>
        <v>1</v>
      </c>
      <c r="M23" s="2">
        <f>G23/G$2</f>
        <v>1</v>
      </c>
      <c r="N23" s="10">
        <f>C23+D23+E23+F23+G23</f>
        <v>94</v>
      </c>
      <c r="P23" t="b">
        <f>OR(I23&lt;0.05,J23&lt;0.05,K23&lt;0.05,L23&lt;0.05,M23&lt;0.05)</f>
        <v>0</v>
      </c>
    </row>
    <row r="24" spans="1:16" ht="15.5" x14ac:dyDescent="0.35">
      <c r="A24" s="3" t="s">
        <v>67</v>
      </c>
      <c r="B24" s="3" t="s">
        <v>83</v>
      </c>
      <c r="C24">
        <v>30</v>
      </c>
      <c r="D24">
        <v>20</v>
      </c>
      <c r="E24">
        <v>8</v>
      </c>
      <c r="F24">
        <v>20</v>
      </c>
      <c r="G24">
        <v>15</v>
      </c>
      <c r="I24" s="2">
        <f>C24/C$2</f>
        <v>1</v>
      </c>
      <c r="J24" s="2">
        <f>D24/D$2</f>
        <v>1</v>
      </c>
      <c r="K24" s="2">
        <f>E24/E$2</f>
        <v>0.53333333333333333</v>
      </c>
      <c r="L24" s="2">
        <f>F24/F$2</f>
        <v>1</v>
      </c>
      <c r="M24" s="2">
        <f>G24/G$2</f>
        <v>1</v>
      </c>
      <c r="N24" s="10">
        <f>C24+D24+E24+F24+G24</f>
        <v>93</v>
      </c>
      <c r="P24" t="b">
        <f>OR(I24&lt;0.05,J24&lt;0.05,K24&lt;0.05,L24&lt;0.05,M24&lt;0.05)</f>
        <v>0</v>
      </c>
    </row>
    <row r="25" spans="1:16" ht="15.5" x14ac:dyDescent="0.35">
      <c r="A25" s="3" t="s">
        <v>101</v>
      </c>
      <c r="B25" s="3" t="s">
        <v>47</v>
      </c>
      <c r="C25">
        <v>30</v>
      </c>
      <c r="D25">
        <v>13</v>
      </c>
      <c r="E25">
        <v>15</v>
      </c>
      <c r="F25">
        <v>20</v>
      </c>
      <c r="G25">
        <v>15</v>
      </c>
      <c r="I25" s="2">
        <f>C25/C$2</f>
        <v>1</v>
      </c>
      <c r="J25" s="2">
        <f>D25/D$2</f>
        <v>0.65</v>
      </c>
      <c r="K25" s="2">
        <f>E25/E$2</f>
        <v>1</v>
      </c>
      <c r="L25" s="2">
        <f>F25/F$2</f>
        <v>1</v>
      </c>
      <c r="M25" s="2">
        <f>G25/G$2</f>
        <v>1</v>
      </c>
      <c r="N25" s="10">
        <f>C25+D25+E25+F25+G25</f>
        <v>93</v>
      </c>
      <c r="P25" t="b">
        <f>OR(I25&lt;0.05,J25&lt;0.05,K25&lt;0.05,L25&lt;0.05,M25&lt;0.05)</f>
        <v>0</v>
      </c>
    </row>
    <row r="26" spans="1:16" ht="15.5" x14ac:dyDescent="0.35">
      <c r="A26" s="3" t="s">
        <v>19</v>
      </c>
      <c r="B26" s="3" t="s">
        <v>104</v>
      </c>
      <c r="C26">
        <v>30</v>
      </c>
      <c r="D26">
        <v>20</v>
      </c>
      <c r="E26">
        <v>15</v>
      </c>
      <c r="F26">
        <v>20</v>
      </c>
      <c r="G26">
        <v>7</v>
      </c>
      <c r="I26" s="2">
        <f>C26/C$2</f>
        <v>1</v>
      </c>
      <c r="J26" s="2">
        <f>D26/D$2</f>
        <v>1</v>
      </c>
      <c r="K26" s="2">
        <f>E26/E$2</f>
        <v>1</v>
      </c>
      <c r="L26" s="2">
        <f>F26/F$2</f>
        <v>1</v>
      </c>
      <c r="M26" s="2">
        <f>G26/G$2</f>
        <v>0.46666666666666667</v>
      </c>
      <c r="N26" s="10">
        <f>C26+D26+E26+F26+G26</f>
        <v>92</v>
      </c>
      <c r="P26" t="b">
        <f>OR(I26&lt;0.05,J26&lt;0.05,K26&lt;0.05,L26&lt;0.05,M26&lt;0.05)</f>
        <v>0</v>
      </c>
    </row>
    <row r="27" spans="1:16" ht="15.5" x14ac:dyDescent="0.35">
      <c r="A27" s="3" t="s">
        <v>126</v>
      </c>
      <c r="B27" s="3" t="s">
        <v>127</v>
      </c>
      <c r="C27">
        <v>30</v>
      </c>
      <c r="D27">
        <v>20</v>
      </c>
      <c r="E27">
        <v>15</v>
      </c>
      <c r="F27">
        <v>12</v>
      </c>
      <c r="G27">
        <v>15</v>
      </c>
      <c r="I27" s="2">
        <f>C27/C$2</f>
        <v>1</v>
      </c>
      <c r="J27" s="2">
        <f>D27/D$2</f>
        <v>1</v>
      </c>
      <c r="K27" s="2">
        <f>E27/E$2</f>
        <v>1</v>
      </c>
      <c r="L27" s="2">
        <f>F27/F$2</f>
        <v>0.6</v>
      </c>
      <c r="M27" s="2">
        <f>G27/G$2</f>
        <v>1</v>
      </c>
      <c r="N27" s="10">
        <f>C27+D27+E27+F27+G27</f>
        <v>92</v>
      </c>
      <c r="P27" t="b">
        <f>OR(I27&lt;0.05,J27&lt;0.05,K27&lt;0.05,L27&lt;0.05,M27&lt;0.05)</f>
        <v>0</v>
      </c>
    </row>
    <row r="28" spans="1:16" x14ac:dyDescent="0.35">
      <c r="A28" t="s">
        <v>156</v>
      </c>
      <c r="B28" t="s">
        <v>157</v>
      </c>
      <c r="C28">
        <v>21</v>
      </c>
      <c r="D28">
        <v>20</v>
      </c>
      <c r="E28">
        <v>15</v>
      </c>
      <c r="F28">
        <v>20</v>
      </c>
      <c r="G28">
        <v>15</v>
      </c>
      <c r="I28" s="2">
        <f>C28/C$2</f>
        <v>0.7</v>
      </c>
      <c r="J28" s="2">
        <f>D28/D$2</f>
        <v>1</v>
      </c>
      <c r="K28" s="2">
        <f>E28/E$2</f>
        <v>1</v>
      </c>
      <c r="L28" s="2">
        <f>F28/F$2</f>
        <v>1</v>
      </c>
      <c r="M28" s="2">
        <f>G28/G$2</f>
        <v>1</v>
      </c>
      <c r="N28" s="10">
        <f>C28+D28+E28+F28+G28</f>
        <v>91</v>
      </c>
      <c r="P28" t="b">
        <f>OR(I28&lt;0.05,J28&lt;0.05,K28&lt;0.05,L28&lt;0.05,M28&lt;0.05)</f>
        <v>0</v>
      </c>
    </row>
    <row r="29" spans="1:16" ht="15.5" x14ac:dyDescent="0.35">
      <c r="A29" s="3" t="s">
        <v>90</v>
      </c>
      <c r="B29" s="3" t="s">
        <v>91</v>
      </c>
      <c r="C29">
        <v>30</v>
      </c>
      <c r="D29">
        <v>20</v>
      </c>
      <c r="E29">
        <v>15</v>
      </c>
      <c r="F29">
        <v>10</v>
      </c>
      <c r="G29">
        <v>15</v>
      </c>
      <c r="I29" s="2">
        <f>C29/C$2</f>
        <v>1</v>
      </c>
      <c r="J29" s="2">
        <f>D29/D$2</f>
        <v>1</v>
      </c>
      <c r="K29" s="2">
        <f>E29/E$2</f>
        <v>1</v>
      </c>
      <c r="L29" s="2">
        <f>F29/F$2</f>
        <v>0.5</v>
      </c>
      <c r="M29" s="2">
        <f>G29/G$2</f>
        <v>1</v>
      </c>
      <c r="N29" s="10">
        <f>C29+D29+E29+F29+G29</f>
        <v>90</v>
      </c>
      <c r="P29" t="b">
        <f>OR(I29&lt;0.05,J29&lt;0.05,K29&lt;0.05,L29&lt;0.05,M29&lt;0.05)</f>
        <v>0</v>
      </c>
    </row>
    <row r="30" spans="1:16" ht="15.5" x14ac:dyDescent="0.35">
      <c r="A30" s="3" t="s">
        <v>99</v>
      </c>
      <c r="B30" s="3" t="s">
        <v>100</v>
      </c>
      <c r="C30">
        <v>30</v>
      </c>
      <c r="D30">
        <v>20</v>
      </c>
      <c r="E30">
        <v>15</v>
      </c>
      <c r="F30">
        <v>12</v>
      </c>
      <c r="G30">
        <v>13</v>
      </c>
      <c r="I30" s="2">
        <f>C30/C$2</f>
        <v>1</v>
      </c>
      <c r="J30" s="2">
        <f>D30/D$2</f>
        <v>1</v>
      </c>
      <c r="K30" s="2">
        <f>E30/E$2</f>
        <v>1</v>
      </c>
      <c r="L30" s="2">
        <f>F30/F$2</f>
        <v>0.6</v>
      </c>
      <c r="M30" s="2">
        <f>G30/G$2</f>
        <v>0.8666666666666667</v>
      </c>
      <c r="N30" s="10">
        <f>C30+D30+E30+F30+G30</f>
        <v>90</v>
      </c>
      <c r="P30" t="b">
        <f>OR(I30&lt;0.05,J30&lt;0.05,K30&lt;0.05,L30&lt;0.05,M30&lt;0.05)</f>
        <v>0</v>
      </c>
    </row>
    <row r="31" spans="1:16" ht="15.5" x14ac:dyDescent="0.35">
      <c r="A31" s="3" t="s">
        <v>42</v>
      </c>
      <c r="B31" s="3" t="s">
        <v>56</v>
      </c>
      <c r="C31">
        <v>30</v>
      </c>
      <c r="D31">
        <v>20</v>
      </c>
      <c r="E31">
        <v>8</v>
      </c>
      <c r="F31">
        <v>16</v>
      </c>
      <c r="G31">
        <v>15</v>
      </c>
      <c r="H31" s="2"/>
      <c r="I31" s="2">
        <f>C31/C$2</f>
        <v>1</v>
      </c>
      <c r="J31" s="2">
        <f>D31/D$2</f>
        <v>1</v>
      </c>
      <c r="K31" s="2">
        <f>E31/E$2</f>
        <v>0.53333333333333333</v>
      </c>
      <c r="L31" s="2">
        <f>F31/F$2</f>
        <v>0.8</v>
      </c>
      <c r="M31" s="2">
        <f>G31/G$2</f>
        <v>1</v>
      </c>
      <c r="N31" s="10">
        <f>C31+D31+E31+F31+G31</f>
        <v>89</v>
      </c>
      <c r="P31" t="b">
        <f>OR(I31&lt;0.05,J31&lt;0.05,K31&lt;0.05,L31&lt;0.05,M31&lt;0.05)</f>
        <v>0</v>
      </c>
    </row>
    <row r="32" spans="1:16" ht="15.5" x14ac:dyDescent="0.35">
      <c r="A32" s="3" t="s">
        <v>47</v>
      </c>
      <c r="B32" s="3" t="s">
        <v>105</v>
      </c>
      <c r="C32">
        <v>19</v>
      </c>
      <c r="D32">
        <v>20</v>
      </c>
      <c r="E32">
        <v>15</v>
      </c>
      <c r="F32">
        <v>20</v>
      </c>
      <c r="G32">
        <v>15</v>
      </c>
      <c r="I32" s="2">
        <f>C32/C$2</f>
        <v>0.6333333333333333</v>
      </c>
      <c r="J32" s="2">
        <f>D32/D$2</f>
        <v>1</v>
      </c>
      <c r="K32" s="2">
        <f>E32/E$2</f>
        <v>1</v>
      </c>
      <c r="L32" s="2">
        <f>F32/F$2</f>
        <v>1</v>
      </c>
      <c r="M32" s="2">
        <f>G32/G$2</f>
        <v>1</v>
      </c>
      <c r="N32" s="10">
        <f>C32+D32+E32+F32+G32</f>
        <v>89</v>
      </c>
      <c r="P32" t="b">
        <f>OR(I32&lt;0.05,J32&lt;0.05,K32&lt;0.05,L32&lt;0.05,M32&lt;0.05)</f>
        <v>0</v>
      </c>
    </row>
    <row r="33" spans="1:16" x14ac:dyDescent="0.35">
      <c r="A33" t="s">
        <v>13</v>
      </c>
      <c r="B33" t="s">
        <v>138</v>
      </c>
      <c r="C33">
        <v>19</v>
      </c>
      <c r="D33">
        <v>20</v>
      </c>
      <c r="E33">
        <v>15</v>
      </c>
      <c r="F33">
        <v>20</v>
      </c>
      <c r="G33">
        <v>15</v>
      </c>
      <c r="I33" s="2">
        <f>C33/C$2</f>
        <v>0.6333333333333333</v>
      </c>
      <c r="J33" s="2">
        <f>D33/D$2</f>
        <v>1</v>
      </c>
      <c r="K33" s="2">
        <f>E33/E$2</f>
        <v>1</v>
      </c>
      <c r="L33" s="2">
        <f>F33/F$2</f>
        <v>1</v>
      </c>
      <c r="M33" s="2">
        <f>G33/G$2</f>
        <v>1</v>
      </c>
      <c r="N33" s="10">
        <f>C33+D33+E33+F33+G33</f>
        <v>89</v>
      </c>
      <c r="P33" t="b">
        <f>OR(I33&lt;0.05,J33&lt;0.05,K33&lt;0.05,L33&lt;0.05,M33&lt;0.05)</f>
        <v>0</v>
      </c>
    </row>
    <row r="34" spans="1:16" x14ac:dyDescent="0.35">
      <c r="A34" t="s">
        <v>143</v>
      </c>
      <c r="B34" t="s">
        <v>144</v>
      </c>
      <c r="C34">
        <v>30</v>
      </c>
      <c r="D34">
        <v>20</v>
      </c>
      <c r="E34">
        <v>15</v>
      </c>
      <c r="F34">
        <v>8</v>
      </c>
      <c r="G34">
        <v>15</v>
      </c>
      <c r="I34" s="2">
        <f>C34/C$2</f>
        <v>1</v>
      </c>
      <c r="J34" s="2">
        <f>D34/D$2</f>
        <v>1</v>
      </c>
      <c r="K34" s="2">
        <f>E34/E$2</f>
        <v>1</v>
      </c>
      <c r="L34" s="2">
        <f>F34/F$2</f>
        <v>0.4</v>
      </c>
      <c r="M34" s="2">
        <f>G34/G$2</f>
        <v>1</v>
      </c>
      <c r="N34" s="10">
        <f>C34+D34+E34+F34+G34</f>
        <v>88</v>
      </c>
      <c r="P34" t="b">
        <f>OR(I34&lt;0.05,J34&lt;0.05,K34&lt;0.05,L34&lt;0.05,M34&lt;0.05)</f>
        <v>0</v>
      </c>
    </row>
    <row r="35" spans="1:16" ht="15.5" x14ac:dyDescent="0.35">
      <c r="A35" s="3" t="s">
        <v>37</v>
      </c>
      <c r="B35" s="3" t="s">
        <v>31</v>
      </c>
      <c r="C35">
        <v>22</v>
      </c>
      <c r="D35">
        <v>20</v>
      </c>
      <c r="E35">
        <v>10</v>
      </c>
      <c r="F35">
        <v>20</v>
      </c>
      <c r="G35">
        <v>15</v>
      </c>
      <c r="I35" s="2">
        <f>C35/C$2</f>
        <v>0.73333333333333328</v>
      </c>
      <c r="J35" s="2">
        <f>D35/D$2</f>
        <v>1</v>
      </c>
      <c r="K35" s="2">
        <f>E35/E$2</f>
        <v>0.66666666666666663</v>
      </c>
      <c r="L35" s="2">
        <f>F35/F$2</f>
        <v>1</v>
      </c>
      <c r="M35" s="2">
        <f>G35/G$2</f>
        <v>1</v>
      </c>
      <c r="N35" s="10">
        <f>C35+D35+E35+F35+G35</f>
        <v>87</v>
      </c>
      <c r="P35" t="b">
        <f>OR(I35&lt;0.05,J35&lt;0.05,K35&lt;0.05,L35&lt;0.05,M35&lt;0.05)</f>
        <v>0</v>
      </c>
    </row>
    <row r="36" spans="1:16" ht="15.5" x14ac:dyDescent="0.35">
      <c r="A36" s="3" t="s">
        <v>42</v>
      </c>
      <c r="B36" s="3" t="s">
        <v>43</v>
      </c>
      <c r="C36">
        <v>25</v>
      </c>
      <c r="D36">
        <v>20</v>
      </c>
      <c r="E36">
        <v>14</v>
      </c>
      <c r="F36">
        <v>20</v>
      </c>
      <c r="G36">
        <v>8</v>
      </c>
      <c r="I36" s="2">
        <f>C36/C$2</f>
        <v>0.83333333333333337</v>
      </c>
      <c r="J36" s="2">
        <f>D36/D$2</f>
        <v>1</v>
      </c>
      <c r="K36" s="2">
        <f>E36/E$2</f>
        <v>0.93333333333333335</v>
      </c>
      <c r="L36" s="2">
        <f>F36/F$2</f>
        <v>1</v>
      </c>
      <c r="M36" s="2">
        <f>G36/G$2</f>
        <v>0.53333333333333333</v>
      </c>
      <c r="N36" s="10">
        <f>C36+D36+E36+F36+G36</f>
        <v>87</v>
      </c>
      <c r="P36" t="b">
        <f>OR(I36&lt;0.05,J36&lt;0.05,K36&lt;0.05,L36&lt;0.05,M36&lt;0.05)</f>
        <v>0</v>
      </c>
    </row>
    <row r="37" spans="1:16" ht="15.5" x14ac:dyDescent="0.35">
      <c r="A37" s="3" t="s">
        <v>68</v>
      </c>
      <c r="B37" s="3" t="s">
        <v>69</v>
      </c>
      <c r="C37">
        <v>30</v>
      </c>
      <c r="D37">
        <v>17</v>
      </c>
      <c r="E37">
        <v>5</v>
      </c>
      <c r="F37">
        <v>20</v>
      </c>
      <c r="G37">
        <v>15</v>
      </c>
      <c r="I37" s="2">
        <f>C37/C$2</f>
        <v>1</v>
      </c>
      <c r="J37" s="2">
        <f>D37/D$2</f>
        <v>0.85</v>
      </c>
      <c r="K37" s="2">
        <f>E37/E$2</f>
        <v>0.33333333333333331</v>
      </c>
      <c r="L37" s="2">
        <f>F37/F$2</f>
        <v>1</v>
      </c>
      <c r="M37" s="2">
        <f>G37/G$2</f>
        <v>1</v>
      </c>
      <c r="N37" s="10">
        <f>C37+D37+E37+F37+G37</f>
        <v>87</v>
      </c>
      <c r="P37" t="b">
        <f>OR(I37&lt;0.05,J37&lt;0.05,K37&lt;0.05,L37&lt;0.05,M37&lt;0.05)</f>
        <v>0</v>
      </c>
    </row>
    <row r="38" spans="1:16" ht="15.5" x14ac:dyDescent="0.35">
      <c r="A38" s="3" t="s">
        <v>78</v>
      </c>
      <c r="B38" s="3" t="s">
        <v>79</v>
      </c>
      <c r="C38">
        <v>17</v>
      </c>
      <c r="D38">
        <v>20</v>
      </c>
      <c r="E38">
        <v>15</v>
      </c>
      <c r="F38">
        <v>20</v>
      </c>
      <c r="G38">
        <v>15</v>
      </c>
      <c r="I38" s="2">
        <f>C38/C$2</f>
        <v>0.56666666666666665</v>
      </c>
      <c r="J38" s="2">
        <f>D38/D$2</f>
        <v>1</v>
      </c>
      <c r="K38" s="2">
        <f>E38/E$2</f>
        <v>1</v>
      </c>
      <c r="L38" s="2">
        <f>F38/F$2</f>
        <v>1</v>
      </c>
      <c r="M38" s="2">
        <f>G38/G$2</f>
        <v>1</v>
      </c>
      <c r="N38" s="10">
        <f>C38+D38+E38+F38+G38</f>
        <v>87</v>
      </c>
      <c r="P38" t="b">
        <f>OR(I38&lt;0.05,J38&lt;0.05,K38&lt;0.05,L38&lt;0.05,M38&lt;0.05)</f>
        <v>0</v>
      </c>
    </row>
    <row r="39" spans="1:16" ht="15.5" x14ac:dyDescent="0.35">
      <c r="A39" s="3" t="s">
        <v>120</v>
      </c>
      <c r="B39" s="3" t="s">
        <v>121</v>
      </c>
      <c r="C39">
        <v>20</v>
      </c>
      <c r="D39">
        <v>20</v>
      </c>
      <c r="E39">
        <v>15</v>
      </c>
      <c r="F39">
        <v>17</v>
      </c>
      <c r="G39">
        <v>15</v>
      </c>
      <c r="I39" s="2">
        <f>C39/C$2</f>
        <v>0.66666666666666663</v>
      </c>
      <c r="J39" s="2">
        <f>D39/D$2</f>
        <v>1</v>
      </c>
      <c r="K39" s="2">
        <f>E39/E$2</f>
        <v>1</v>
      </c>
      <c r="L39" s="2">
        <f>F39/F$2</f>
        <v>0.85</v>
      </c>
      <c r="M39" s="2">
        <f>G39/G$2</f>
        <v>1</v>
      </c>
      <c r="N39" s="10">
        <f>C39+D39+E39+F39+G39</f>
        <v>87</v>
      </c>
      <c r="P39" t="b">
        <f>OR(I39&lt;0.05,J39&lt;0.05,K39&lt;0.05,L39&lt;0.05,M39&lt;0.05)</f>
        <v>0</v>
      </c>
    </row>
    <row r="40" spans="1:16" ht="15.5" x14ac:dyDescent="0.35">
      <c r="A40" s="3" t="s">
        <v>33</v>
      </c>
      <c r="B40" s="3" t="s">
        <v>94</v>
      </c>
      <c r="C40">
        <v>30</v>
      </c>
      <c r="D40">
        <v>20</v>
      </c>
      <c r="E40">
        <v>15</v>
      </c>
      <c r="F40">
        <v>6</v>
      </c>
      <c r="G40">
        <v>15</v>
      </c>
      <c r="I40" s="2">
        <f>C40/C$2</f>
        <v>1</v>
      </c>
      <c r="J40" s="2">
        <f>D40/D$2</f>
        <v>1</v>
      </c>
      <c r="K40" s="2">
        <f>E40/E$2</f>
        <v>1</v>
      </c>
      <c r="L40" s="2">
        <f>F40/F$2</f>
        <v>0.3</v>
      </c>
      <c r="M40" s="2">
        <f>G40/G$2</f>
        <v>1</v>
      </c>
      <c r="N40" s="10">
        <f>C40+D40+E40+F40+G40</f>
        <v>86</v>
      </c>
      <c r="P40" t="b">
        <f>OR(I40&lt;0.05,J40&lt;0.05,K40&lt;0.05,L40&lt;0.05,M40&lt;0.05)</f>
        <v>0</v>
      </c>
    </row>
    <row r="41" spans="1:16" ht="15.5" x14ac:dyDescent="0.35">
      <c r="A41" s="3" t="s">
        <v>32</v>
      </c>
      <c r="B41" s="3" t="s">
        <v>33</v>
      </c>
      <c r="C41">
        <v>28</v>
      </c>
      <c r="D41">
        <v>20</v>
      </c>
      <c r="E41">
        <v>13</v>
      </c>
      <c r="F41">
        <v>9</v>
      </c>
      <c r="G41">
        <v>15</v>
      </c>
      <c r="I41" s="2">
        <f>C41/C$2</f>
        <v>0.93333333333333335</v>
      </c>
      <c r="J41" s="2">
        <f>D41/D$2</f>
        <v>1</v>
      </c>
      <c r="K41" s="2">
        <f>E41/E$2</f>
        <v>0.8666666666666667</v>
      </c>
      <c r="L41" s="2">
        <f>F41/F$2</f>
        <v>0.45</v>
      </c>
      <c r="M41" s="2">
        <f>G41/G$2</f>
        <v>1</v>
      </c>
      <c r="N41" s="10">
        <f>C41+D41+E41+F41+G41</f>
        <v>85</v>
      </c>
      <c r="P41" t="b">
        <f>OR(I41&lt;0.05,J41&lt;0.05,K41&lt;0.05,L41&lt;0.05,M41&lt;0.05)</f>
        <v>0</v>
      </c>
    </row>
    <row r="42" spans="1:16" ht="15.5" x14ac:dyDescent="0.35">
      <c r="A42" s="3" t="s">
        <v>38</v>
      </c>
      <c r="B42" s="3" t="s">
        <v>39</v>
      </c>
      <c r="C42">
        <v>15</v>
      </c>
      <c r="D42">
        <v>20</v>
      </c>
      <c r="E42">
        <v>15</v>
      </c>
      <c r="F42">
        <v>20</v>
      </c>
      <c r="G42">
        <v>15</v>
      </c>
      <c r="I42" s="2">
        <f>C42/C$2</f>
        <v>0.5</v>
      </c>
      <c r="J42" s="2">
        <f>D42/D$2</f>
        <v>1</v>
      </c>
      <c r="K42" s="2">
        <f>E42/E$2</f>
        <v>1</v>
      </c>
      <c r="L42" s="2">
        <f>F42/F$2</f>
        <v>1</v>
      </c>
      <c r="M42" s="2">
        <f>G42/G$2</f>
        <v>1</v>
      </c>
      <c r="N42" s="10">
        <f>C42+D42+E42+F42+G42</f>
        <v>85</v>
      </c>
      <c r="P42" t="b">
        <f>OR(I42&lt;0.05,J42&lt;0.05,K42&lt;0.05,L42&lt;0.05,M42&lt;0.05)</f>
        <v>0</v>
      </c>
    </row>
    <row r="43" spans="1:16" ht="15.5" x14ac:dyDescent="0.35">
      <c r="A43" s="3" t="s">
        <v>86</v>
      </c>
      <c r="B43" s="3" t="s">
        <v>87</v>
      </c>
      <c r="C43">
        <v>15</v>
      </c>
      <c r="D43">
        <v>20</v>
      </c>
      <c r="E43">
        <v>15</v>
      </c>
      <c r="F43">
        <v>20</v>
      </c>
      <c r="G43">
        <v>15</v>
      </c>
      <c r="I43" s="2">
        <f>C43/C$2</f>
        <v>0.5</v>
      </c>
      <c r="J43" s="2">
        <f>D43/D$2</f>
        <v>1</v>
      </c>
      <c r="K43" s="2">
        <f>E43/E$2</f>
        <v>1</v>
      </c>
      <c r="L43" s="2">
        <f>F43/F$2</f>
        <v>1</v>
      </c>
      <c r="M43" s="2">
        <f>G43/G$2</f>
        <v>1</v>
      </c>
      <c r="N43" s="10">
        <f>C43+D43+E43+F43+G43</f>
        <v>85</v>
      </c>
      <c r="P43" t="b">
        <f>OR(I43&lt;0.05,J43&lt;0.05,K43&lt;0.05,L43&lt;0.05,M43&lt;0.05)</f>
        <v>0</v>
      </c>
    </row>
    <row r="44" spans="1:16" ht="15.5" x14ac:dyDescent="0.35">
      <c r="A44" s="3" t="s">
        <v>107</v>
      </c>
      <c r="B44" s="3" t="s">
        <v>108</v>
      </c>
      <c r="C44">
        <v>30</v>
      </c>
      <c r="D44">
        <v>20</v>
      </c>
      <c r="E44">
        <v>15</v>
      </c>
      <c r="F44">
        <v>12</v>
      </c>
      <c r="G44">
        <v>8</v>
      </c>
      <c r="I44" s="2">
        <f>C44/C$2</f>
        <v>1</v>
      </c>
      <c r="J44" s="2">
        <f>D44/D$2</f>
        <v>1</v>
      </c>
      <c r="K44" s="2">
        <f>E44/E$2</f>
        <v>1</v>
      </c>
      <c r="L44" s="2">
        <f>F44/F$2</f>
        <v>0.6</v>
      </c>
      <c r="M44" s="2">
        <f>G44/G$2</f>
        <v>0.53333333333333333</v>
      </c>
      <c r="N44" s="10">
        <f>C44+D44+E44+F44+G44</f>
        <v>85</v>
      </c>
      <c r="P44" t="b">
        <f>OR(I44&lt;0.05,J44&lt;0.05,K44&lt;0.05,L44&lt;0.05,M44&lt;0.05)</f>
        <v>0</v>
      </c>
    </row>
    <row r="45" spans="1:16" ht="15.5" x14ac:dyDescent="0.35">
      <c r="A45" s="3" t="s">
        <v>99</v>
      </c>
      <c r="B45" s="3" t="s">
        <v>114</v>
      </c>
      <c r="C45">
        <v>22</v>
      </c>
      <c r="D45">
        <v>20</v>
      </c>
      <c r="E45">
        <v>15</v>
      </c>
      <c r="F45">
        <v>16</v>
      </c>
      <c r="G45">
        <v>12</v>
      </c>
      <c r="I45" s="2">
        <f>C45/C$2</f>
        <v>0.73333333333333328</v>
      </c>
      <c r="J45" s="2">
        <f>D45/D$2</f>
        <v>1</v>
      </c>
      <c r="K45" s="2">
        <f>E45/E$2</f>
        <v>1</v>
      </c>
      <c r="L45" s="2">
        <f>F45/F$2</f>
        <v>0.8</v>
      </c>
      <c r="M45" s="2">
        <f>G45/G$2</f>
        <v>0.8</v>
      </c>
      <c r="N45" s="10">
        <f>C45+D45+E45+F45+G45</f>
        <v>85</v>
      </c>
      <c r="P45" t="b">
        <f>OR(I45&lt;0.05,J45&lt;0.05,K45&lt;0.05,L45&lt;0.05,M45&lt;0.05)</f>
        <v>0</v>
      </c>
    </row>
    <row r="46" spans="1:16" ht="15.5" x14ac:dyDescent="0.35">
      <c r="A46" s="3" t="s">
        <v>44</v>
      </c>
      <c r="B46" s="3" t="s">
        <v>83</v>
      </c>
      <c r="C46">
        <v>25</v>
      </c>
      <c r="D46">
        <v>20</v>
      </c>
      <c r="E46">
        <v>15</v>
      </c>
      <c r="F46">
        <v>9</v>
      </c>
      <c r="G46">
        <v>15</v>
      </c>
      <c r="I46" s="2">
        <f>C46/C$2</f>
        <v>0.83333333333333337</v>
      </c>
      <c r="J46" s="2">
        <f>D46/D$2</f>
        <v>1</v>
      </c>
      <c r="K46" s="2">
        <f>E46/E$2</f>
        <v>1</v>
      </c>
      <c r="L46" s="2">
        <f>F46/F$2</f>
        <v>0.45</v>
      </c>
      <c r="M46" s="2">
        <f>G46/G$2</f>
        <v>1</v>
      </c>
      <c r="N46" s="10">
        <f>C46+D46+E46+F46+G46</f>
        <v>84</v>
      </c>
      <c r="P46" t="b">
        <f>OR(I46&lt;0.05,J46&lt;0.05,K46&lt;0.05,L46&lt;0.05,M46&lt;0.05)</f>
        <v>0</v>
      </c>
    </row>
    <row r="47" spans="1:16" ht="15.5" x14ac:dyDescent="0.35">
      <c r="A47" s="3" t="s">
        <v>67</v>
      </c>
      <c r="B47" s="3" t="s">
        <v>15</v>
      </c>
      <c r="C47">
        <v>27</v>
      </c>
      <c r="D47">
        <v>20</v>
      </c>
      <c r="E47">
        <v>15</v>
      </c>
      <c r="F47">
        <v>6</v>
      </c>
      <c r="G47">
        <v>15</v>
      </c>
      <c r="I47" s="2">
        <f>C47/C$2</f>
        <v>0.9</v>
      </c>
      <c r="J47" s="2">
        <f>D47/D$2</f>
        <v>1</v>
      </c>
      <c r="K47" s="2">
        <f>E47/E$2</f>
        <v>1</v>
      </c>
      <c r="L47" s="2">
        <f>F47/F$2</f>
        <v>0.3</v>
      </c>
      <c r="M47" s="2">
        <f>G47/G$2</f>
        <v>1</v>
      </c>
      <c r="N47" s="10">
        <f>C47+D47+E47+F47+G47</f>
        <v>83</v>
      </c>
      <c r="P47" t="b">
        <f>OR(I47&lt;0.05,J47&lt;0.05,K47&lt;0.05,L47&lt;0.05,M47&lt;0.05)</f>
        <v>0</v>
      </c>
    </row>
    <row r="48" spans="1:16" x14ac:dyDescent="0.35">
      <c r="A48" t="s">
        <v>145</v>
      </c>
      <c r="B48" t="s">
        <v>146</v>
      </c>
      <c r="C48">
        <v>27</v>
      </c>
      <c r="D48">
        <v>16</v>
      </c>
      <c r="E48">
        <v>15</v>
      </c>
      <c r="F48">
        <v>16</v>
      </c>
      <c r="G48">
        <v>8</v>
      </c>
      <c r="I48" s="2">
        <f>C48/C$2</f>
        <v>0.9</v>
      </c>
      <c r="J48" s="2">
        <f>D48/D$2</f>
        <v>0.8</v>
      </c>
      <c r="K48" s="2">
        <f>E48/E$2</f>
        <v>1</v>
      </c>
      <c r="L48" s="2">
        <f>F48/F$2</f>
        <v>0.8</v>
      </c>
      <c r="M48" s="2">
        <f>G48/G$2</f>
        <v>0.53333333333333333</v>
      </c>
      <c r="N48" s="10">
        <f>C48+D48+E48+F48+G48</f>
        <v>82</v>
      </c>
      <c r="P48" t="b">
        <f>OR(I48&lt;0.05,J48&lt;0.05,K48&lt;0.05,L48&lt;0.05,M48&lt;0.05)</f>
        <v>0</v>
      </c>
    </row>
    <row r="49" spans="1:16" ht="15.5" x14ac:dyDescent="0.35">
      <c r="A49" s="3" t="s">
        <v>26</v>
      </c>
      <c r="B49" s="3" t="s">
        <v>36</v>
      </c>
      <c r="C49">
        <v>25</v>
      </c>
      <c r="D49">
        <v>20</v>
      </c>
      <c r="E49">
        <v>9</v>
      </c>
      <c r="F49">
        <v>20</v>
      </c>
      <c r="G49">
        <v>7</v>
      </c>
      <c r="I49" s="2">
        <f>C49/C$2</f>
        <v>0.83333333333333337</v>
      </c>
      <c r="J49" s="2">
        <f>D49/D$2</f>
        <v>1</v>
      </c>
      <c r="K49" s="2">
        <f>E49/E$2</f>
        <v>0.6</v>
      </c>
      <c r="L49" s="2">
        <f>F49/F$2</f>
        <v>1</v>
      </c>
      <c r="M49" s="2">
        <f>G49/G$2</f>
        <v>0.46666666666666667</v>
      </c>
      <c r="N49" s="10">
        <f>C49+D49+E49+F49+G49</f>
        <v>81</v>
      </c>
      <c r="P49" t="b">
        <f>OR(I49&lt;0.05,J49&lt;0.05,K49&lt;0.05,L49&lt;0.05,M49&lt;0.05)</f>
        <v>0</v>
      </c>
    </row>
    <row r="50" spans="1:16" ht="15.5" x14ac:dyDescent="0.35">
      <c r="A50" s="3" t="s">
        <v>54</v>
      </c>
      <c r="B50" s="3" t="s">
        <v>55</v>
      </c>
      <c r="C50">
        <v>17</v>
      </c>
      <c r="D50">
        <v>19</v>
      </c>
      <c r="E50">
        <v>15</v>
      </c>
      <c r="F50">
        <v>15</v>
      </c>
      <c r="G50">
        <v>15</v>
      </c>
      <c r="H50" s="2"/>
      <c r="I50" s="2">
        <f>C50/C$2</f>
        <v>0.56666666666666665</v>
      </c>
      <c r="J50" s="2">
        <f>D50/D$2</f>
        <v>0.95</v>
      </c>
      <c r="K50" s="2">
        <f>E50/E$2</f>
        <v>1</v>
      </c>
      <c r="L50" s="2">
        <f>F50/F$2</f>
        <v>0.75</v>
      </c>
      <c r="M50" s="2">
        <f>G50/G$2</f>
        <v>1</v>
      </c>
      <c r="N50" s="10">
        <f>C50+D50+E50+F50+G50</f>
        <v>81</v>
      </c>
      <c r="P50" t="b">
        <f>OR(I50&lt;0.05,J50&lt;0.05,K50&lt;0.05,L50&lt;0.05,M50&lt;0.05)</f>
        <v>0</v>
      </c>
    </row>
    <row r="51" spans="1:16" x14ac:dyDescent="0.35">
      <c r="A51" t="s">
        <v>17</v>
      </c>
      <c r="B51" t="s">
        <v>14</v>
      </c>
      <c r="C51">
        <v>18</v>
      </c>
      <c r="D51">
        <v>18</v>
      </c>
      <c r="E51">
        <v>10</v>
      </c>
      <c r="F51">
        <v>20</v>
      </c>
      <c r="G51">
        <v>15</v>
      </c>
      <c r="I51" s="2">
        <f>C51/C$2</f>
        <v>0.6</v>
      </c>
      <c r="J51" s="2">
        <f>D51/D$2</f>
        <v>0.9</v>
      </c>
      <c r="K51" s="2">
        <f>E51/E$2</f>
        <v>0.66666666666666663</v>
      </c>
      <c r="L51" s="2">
        <f>F51/F$2</f>
        <v>1</v>
      </c>
      <c r="M51" s="2">
        <f>G51/G$2</f>
        <v>1</v>
      </c>
      <c r="N51" s="10">
        <f>C51+D51+E51+F51+G51</f>
        <v>81</v>
      </c>
      <c r="P51" t="b">
        <f>OR(I51&lt;0.05,J51&lt;0.05,K51&lt;0.05,L51&lt;0.05,M51&lt;0.05)</f>
        <v>0</v>
      </c>
    </row>
    <row r="52" spans="1:16" ht="15.5" x14ac:dyDescent="0.35">
      <c r="A52" s="3" t="s">
        <v>40</v>
      </c>
      <c r="B52" s="3" t="s">
        <v>41</v>
      </c>
      <c r="C52">
        <v>30</v>
      </c>
      <c r="D52">
        <v>12</v>
      </c>
      <c r="E52">
        <v>15</v>
      </c>
      <c r="F52">
        <v>8</v>
      </c>
      <c r="G52">
        <v>15</v>
      </c>
      <c r="I52" s="2">
        <f>C52/C$2</f>
        <v>1</v>
      </c>
      <c r="J52" s="2">
        <f>D52/D$2</f>
        <v>0.6</v>
      </c>
      <c r="K52" s="2">
        <f>E52/E$2</f>
        <v>1</v>
      </c>
      <c r="L52" s="2">
        <f>F52/F$2</f>
        <v>0.4</v>
      </c>
      <c r="M52" s="2">
        <f>G52/G$2</f>
        <v>1</v>
      </c>
      <c r="N52" s="10">
        <f>C52+D52+E52+F52+G52</f>
        <v>80</v>
      </c>
      <c r="P52" t="b">
        <f>OR(I52&lt;0.05,J52&lt;0.05,K52&lt;0.05,L52&lt;0.05,M52&lt;0.05)</f>
        <v>0</v>
      </c>
    </row>
    <row r="53" spans="1:16" ht="15.5" x14ac:dyDescent="0.35">
      <c r="A53" s="3" t="s">
        <v>64</v>
      </c>
      <c r="B53" s="3" t="s">
        <v>35</v>
      </c>
      <c r="C53">
        <v>30</v>
      </c>
      <c r="D53">
        <v>11</v>
      </c>
      <c r="E53">
        <v>15</v>
      </c>
      <c r="F53">
        <v>9</v>
      </c>
      <c r="G53">
        <v>15</v>
      </c>
      <c r="I53" s="2">
        <f>C53/C$2</f>
        <v>1</v>
      </c>
      <c r="J53" s="2">
        <f>D53/D$2</f>
        <v>0.55000000000000004</v>
      </c>
      <c r="K53" s="2">
        <f>E53/E$2</f>
        <v>1</v>
      </c>
      <c r="L53" s="2">
        <f>F53/F$2</f>
        <v>0.45</v>
      </c>
      <c r="M53" s="2">
        <f>G53/G$2</f>
        <v>1</v>
      </c>
      <c r="N53" s="10">
        <f>C53+D53+E53+F53+G53</f>
        <v>80</v>
      </c>
      <c r="P53" t="b">
        <f>OR(I53&lt;0.05,J53&lt;0.05,K53&lt;0.05,L53&lt;0.05,M53&lt;0.05)</f>
        <v>0</v>
      </c>
    </row>
    <row r="54" spans="1:16" x14ac:dyDescent="0.35">
      <c r="A54" t="s">
        <v>152</v>
      </c>
      <c r="B54" t="s">
        <v>153</v>
      </c>
      <c r="C54">
        <v>30</v>
      </c>
      <c r="D54">
        <v>20</v>
      </c>
      <c r="E54">
        <v>4</v>
      </c>
      <c r="F54">
        <v>18</v>
      </c>
      <c r="G54">
        <v>8</v>
      </c>
      <c r="I54" s="2">
        <f>C54/C$2</f>
        <v>1</v>
      </c>
      <c r="J54" s="2">
        <f>D54/D$2</f>
        <v>1</v>
      </c>
      <c r="K54" s="2">
        <f>E54/E$2</f>
        <v>0.26666666666666666</v>
      </c>
      <c r="L54" s="2">
        <f>F54/F$2</f>
        <v>0.9</v>
      </c>
      <c r="M54" s="2">
        <f>G54/G$2</f>
        <v>0.53333333333333333</v>
      </c>
      <c r="N54" s="10">
        <f>C54+D54+E54+F54+G54</f>
        <v>80</v>
      </c>
      <c r="P54" t="b">
        <f>OR(I54&lt;0.05,J54&lt;0.05,K54&lt;0.05,L54&lt;0.05,M54&lt;0.05)</f>
        <v>0</v>
      </c>
    </row>
    <row r="55" spans="1:16" ht="15.5" x14ac:dyDescent="0.35">
      <c r="A55" s="3" t="s">
        <v>76</v>
      </c>
      <c r="B55" s="3" t="s">
        <v>77</v>
      </c>
      <c r="C55">
        <v>26</v>
      </c>
      <c r="D55">
        <v>3</v>
      </c>
      <c r="E55">
        <v>15</v>
      </c>
      <c r="F55">
        <v>20</v>
      </c>
      <c r="G55">
        <v>15</v>
      </c>
      <c r="I55" s="2">
        <f>C55/C$2</f>
        <v>0.8666666666666667</v>
      </c>
      <c r="J55" s="2">
        <f>D55/D$2</f>
        <v>0.15</v>
      </c>
      <c r="K55" s="2">
        <f>E55/E$2</f>
        <v>1</v>
      </c>
      <c r="L55" s="2">
        <f>F55/F$2</f>
        <v>1</v>
      </c>
      <c r="M55" s="2">
        <f>G55/G$2</f>
        <v>1</v>
      </c>
      <c r="N55" s="10">
        <f>C55+D55+E55+F55+G55</f>
        <v>79</v>
      </c>
      <c r="P55" t="b">
        <f>OR(I55&lt;0.05,J55&lt;0.05,K55&lt;0.05,L55&lt;0.05,M55&lt;0.05)</f>
        <v>0</v>
      </c>
    </row>
    <row r="56" spans="1:16" ht="15.5" x14ac:dyDescent="0.35">
      <c r="A56" s="3" t="s">
        <v>80</v>
      </c>
      <c r="B56" s="3" t="s">
        <v>81</v>
      </c>
      <c r="C56">
        <v>30</v>
      </c>
      <c r="D56">
        <v>20</v>
      </c>
      <c r="E56">
        <v>7</v>
      </c>
      <c r="F56">
        <v>7</v>
      </c>
      <c r="G56">
        <v>15</v>
      </c>
      <c r="I56" s="2">
        <f>C56/C$2</f>
        <v>1</v>
      </c>
      <c r="J56" s="2">
        <f>D56/D$2</f>
        <v>1</v>
      </c>
      <c r="K56" s="2">
        <f>E56/E$2</f>
        <v>0.46666666666666667</v>
      </c>
      <c r="L56" s="2">
        <f>F56/F$2</f>
        <v>0.35</v>
      </c>
      <c r="M56" s="2">
        <f>G56/G$2</f>
        <v>1</v>
      </c>
      <c r="N56" s="10">
        <f>C56+D56+E56+F56+G56</f>
        <v>79</v>
      </c>
      <c r="P56" t="b">
        <f>OR(I56&lt;0.05,J56&lt;0.05,K56&lt;0.05,L56&lt;0.05,M56&lt;0.05)</f>
        <v>0</v>
      </c>
    </row>
    <row r="57" spans="1:16" x14ac:dyDescent="0.35">
      <c r="A57" t="s">
        <v>141</v>
      </c>
      <c r="B57" t="s">
        <v>142</v>
      </c>
      <c r="C57">
        <v>22</v>
      </c>
      <c r="D57">
        <v>11</v>
      </c>
      <c r="E57">
        <v>9</v>
      </c>
      <c r="F57">
        <v>20</v>
      </c>
      <c r="G57">
        <v>15</v>
      </c>
      <c r="I57" s="2">
        <f>C57/C$2</f>
        <v>0.73333333333333328</v>
      </c>
      <c r="J57" s="2">
        <f>D57/D$2</f>
        <v>0.55000000000000004</v>
      </c>
      <c r="K57" s="2">
        <f>E57/E$2</f>
        <v>0.6</v>
      </c>
      <c r="L57" s="2">
        <f>F57/F$2</f>
        <v>1</v>
      </c>
      <c r="M57" s="2">
        <f>G57/G$2</f>
        <v>1</v>
      </c>
      <c r="N57" s="10">
        <f>C57+D57+E57+F57+G57</f>
        <v>77</v>
      </c>
      <c r="P57" t="b">
        <f>OR(I57&lt;0.05,J57&lt;0.05,K57&lt;0.05,L57&lt;0.05,M57&lt;0.05)</f>
        <v>0</v>
      </c>
    </row>
    <row r="58" spans="1:16" ht="15.5" x14ac:dyDescent="0.35">
      <c r="A58" s="3" t="s">
        <v>65</v>
      </c>
      <c r="B58" s="3" t="s">
        <v>66</v>
      </c>
      <c r="C58">
        <v>18</v>
      </c>
      <c r="D58">
        <v>14</v>
      </c>
      <c r="E58">
        <v>10</v>
      </c>
      <c r="F58">
        <v>20</v>
      </c>
      <c r="G58">
        <v>14</v>
      </c>
      <c r="I58" s="2">
        <f>C58/C$2</f>
        <v>0.6</v>
      </c>
      <c r="J58" s="2">
        <f>D58/D$2</f>
        <v>0.7</v>
      </c>
      <c r="K58" s="2">
        <f>E58/E$2</f>
        <v>0.66666666666666663</v>
      </c>
      <c r="L58" s="2">
        <f>F58/F$2</f>
        <v>1</v>
      </c>
      <c r="M58" s="2">
        <f>G58/G$2</f>
        <v>0.93333333333333335</v>
      </c>
      <c r="N58" s="10">
        <f>C58+D58+E58+F58+G58</f>
        <v>76</v>
      </c>
      <c r="P58" t="b">
        <f>OR(I58&lt;0.05,J58&lt;0.05,K58&lt;0.05,L58&lt;0.05,M58&lt;0.05)</f>
        <v>0</v>
      </c>
    </row>
    <row r="59" spans="1:16" ht="15.5" x14ac:dyDescent="0.35">
      <c r="A59" s="3" t="s">
        <v>4</v>
      </c>
      <c r="B59" s="3" t="s">
        <v>75</v>
      </c>
      <c r="C59">
        <v>30</v>
      </c>
      <c r="D59">
        <v>4</v>
      </c>
      <c r="E59">
        <v>15</v>
      </c>
      <c r="F59">
        <v>12</v>
      </c>
      <c r="G59">
        <v>15</v>
      </c>
      <c r="I59" s="2">
        <f>C59/C$2</f>
        <v>1</v>
      </c>
      <c r="J59" s="2">
        <f>D59/D$2</f>
        <v>0.2</v>
      </c>
      <c r="K59" s="2">
        <f>E59/E$2</f>
        <v>1</v>
      </c>
      <c r="L59" s="2">
        <f>F59/F$2</f>
        <v>0.6</v>
      </c>
      <c r="M59" s="2">
        <f>G59/G$2</f>
        <v>1</v>
      </c>
      <c r="N59" s="10">
        <f>C59+D59+E59+F59+G59</f>
        <v>76</v>
      </c>
      <c r="P59" t="b">
        <f>OR(I59&lt;0.05,J59&lt;0.05,K59&lt;0.05,L59&lt;0.05,M59&lt;0.05)</f>
        <v>0</v>
      </c>
    </row>
    <row r="60" spans="1:16" ht="15.5" x14ac:dyDescent="0.35">
      <c r="A60" s="3" t="s">
        <v>52</v>
      </c>
      <c r="B60" s="3" t="s">
        <v>97</v>
      </c>
      <c r="C60">
        <v>13</v>
      </c>
      <c r="D60">
        <v>13</v>
      </c>
      <c r="E60">
        <v>15</v>
      </c>
      <c r="F60">
        <v>20</v>
      </c>
      <c r="G60">
        <v>15</v>
      </c>
      <c r="I60" s="2">
        <f>C60/C$2</f>
        <v>0.43333333333333335</v>
      </c>
      <c r="J60" s="2">
        <f>D60/D$2</f>
        <v>0.65</v>
      </c>
      <c r="K60" s="2">
        <f>E60/E$2</f>
        <v>1</v>
      </c>
      <c r="L60" s="2">
        <f>F60/F$2</f>
        <v>1</v>
      </c>
      <c r="M60" s="2">
        <f>G60/G$2</f>
        <v>1</v>
      </c>
      <c r="N60" s="10">
        <f>C60+D60+E60+F60+G60</f>
        <v>76</v>
      </c>
      <c r="P60" t="b">
        <f>OR(I60&lt;0.05,J60&lt;0.05,K60&lt;0.05,L60&lt;0.05,M60&lt;0.05)</f>
        <v>0</v>
      </c>
    </row>
    <row r="61" spans="1:16" ht="15.5" x14ac:dyDescent="0.35">
      <c r="A61" s="3" t="s">
        <v>70</v>
      </c>
      <c r="B61" s="3" t="s">
        <v>71</v>
      </c>
      <c r="C61">
        <v>27</v>
      </c>
      <c r="D61">
        <v>9</v>
      </c>
      <c r="E61">
        <v>15</v>
      </c>
      <c r="F61">
        <v>9</v>
      </c>
      <c r="G61">
        <v>15</v>
      </c>
      <c r="I61" s="2">
        <f>C61/C$2</f>
        <v>0.9</v>
      </c>
      <c r="J61" s="2">
        <f>D61/D$2</f>
        <v>0.45</v>
      </c>
      <c r="K61" s="2">
        <f>E61/E$2</f>
        <v>1</v>
      </c>
      <c r="L61" s="2">
        <f>F61/F$2</f>
        <v>0.45</v>
      </c>
      <c r="M61" s="2">
        <f>G61/G$2</f>
        <v>1</v>
      </c>
      <c r="N61" s="10">
        <f>C61+D61+E61+F61+G61</f>
        <v>75</v>
      </c>
      <c r="P61" t="b">
        <f>OR(I61&lt;0.05,J61&lt;0.05,K61&lt;0.05,L61&lt;0.05,M61&lt;0.05)</f>
        <v>0</v>
      </c>
    </row>
    <row r="62" spans="1:16" ht="15.5" x14ac:dyDescent="0.35">
      <c r="A62" s="3" t="s">
        <v>26</v>
      </c>
      <c r="B62" s="3" t="s">
        <v>84</v>
      </c>
      <c r="C62">
        <v>16</v>
      </c>
      <c r="D62">
        <v>9</v>
      </c>
      <c r="E62">
        <v>15</v>
      </c>
      <c r="F62">
        <v>20</v>
      </c>
      <c r="G62">
        <v>15</v>
      </c>
      <c r="I62" s="2">
        <f>C62/C$2</f>
        <v>0.53333333333333333</v>
      </c>
      <c r="J62" s="2">
        <f>D62/D$2</f>
        <v>0.45</v>
      </c>
      <c r="K62" s="2">
        <f>E62/E$2</f>
        <v>1</v>
      </c>
      <c r="L62" s="2">
        <f>F62/F$2</f>
        <v>1</v>
      </c>
      <c r="M62" s="2">
        <f>G62/G$2</f>
        <v>1</v>
      </c>
      <c r="N62" s="10">
        <f>C62+D62+E62+F62+G62</f>
        <v>75</v>
      </c>
      <c r="P62" t="b">
        <f>OR(I62&lt;0.05,J62&lt;0.05,K62&lt;0.05,L62&lt;0.05,M62&lt;0.05)</f>
        <v>0</v>
      </c>
    </row>
    <row r="63" spans="1:16" ht="15.5" x14ac:dyDescent="0.35">
      <c r="A63" s="3" t="s">
        <v>88</v>
      </c>
      <c r="B63" s="3" t="s">
        <v>89</v>
      </c>
      <c r="C63">
        <v>14</v>
      </c>
      <c r="D63">
        <v>20</v>
      </c>
      <c r="E63">
        <v>15</v>
      </c>
      <c r="F63">
        <v>20</v>
      </c>
      <c r="G63">
        <v>6</v>
      </c>
      <c r="I63" s="2">
        <f>C63/C$2</f>
        <v>0.46666666666666667</v>
      </c>
      <c r="J63" s="2">
        <f>D63/D$2</f>
        <v>1</v>
      </c>
      <c r="K63" s="2">
        <f>E63/E$2</f>
        <v>1</v>
      </c>
      <c r="L63" s="2">
        <f>F63/F$2</f>
        <v>1</v>
      </c>
      <c r="M63" s="2">
        <f>G63/G$2</f>
        <v>0.4</v>
      </c>
      <c r="N63" s="10">
        <f>C63+D63+E63+F63+G63</f>
        <v>75</v>
      </c>
      <c r="P63" t="b">
        <f>OR(I63&lt;0.05,J63&lt;0.05,K63&lt;0.05,L63&lt;0.05,M63&lt;0.05)</f>
        <v>0</v>
      </c>
    </row>
    <row r="64" spans="1:16" ht="15.5" x14ac:dyDescent="0.35">
      <c r="A64" s="3" t="s">
        <v>132</v>
      </c>
      <c r="B64" s="3" t="s">
        <v>133</v>
      </c>
      <c r="C64">
        <v>13</v>
      </c>
      <c r="D64">
        <v>19</v>
      </c>
      <c r="E64">
        <v>15</v>
      </c>
      <c r="F64">
        <v>14</v>
      </c>
      <c r="G64">
        <v>14</v>
      </c>
      <c r="I64" s="2">
        <f>C64/C$2</f>
        <v>0.43333333333333335</v>
      </c>
      <c r="J64" s="2">
        <f>D64/D$2</f>
        <v>0.95</v>
      </c>
      <c r="K64" s="2">
        <f>E64/E$2</f>
        <v>1</v>
      </c>
      <c r="L64" s="2">
        <f>F64/F$2</f>
        <v>0.7</v>
      </c>
      <c r="M64" s="2">
        <f>G64/G$2</f>
        <v>0.93333333333333335</v>
      </c>
      <c r="N64" s="10">
        <f>C64+D64+E64+F64+G64</f>
        <v>75</v>
      </c>
      <c r="P64" t="b">
        <f>OR(I64&lt;0.05,J64&lt;0.05,K64&lt;0.05,L64&lt;0.05,M64&lt;0.05)</f>
        <v>0</v>
      </c>
    </row>
    <row r="65" spans="1:16" x14ac:dyDescent="0.35">
      <c r="A65" t="s">
        <v>136</v>
      </c>
      <c r="B65" t="s">
        <v>137</v>
      </c>
      <c r="C65">
        <v>18</v>
      </c>
      <c r="D65">
        <v>20</v>
      </c>
      <c r="E65">
        <v>12</v>
      </c>
      <c r="F65">
        <v>20</v>
      </c>
      <c r="G65">
        <v>5</v>
      </c>
      <c r="I65" s="2">
        <f>C65/C$2</f>
        <v>0.6</v>
      </c>
      <c r="J65" s="2">
        <f>D65/D$2</f>
        <v>1</v>
      </c>
      <c r="K65" s="2">
        <f>E65/E$2</f>
        <v>0.8</v>
      </c>
      <c r="L65" s="2">
        <f>F65/F$2</f>
        <v>1</v>
      </c>
      <c r="M65" s="2">
        <f>G65/G$2</f>
        <v>0.33333333333333331</v>
      </c>
      <c r="N65" s="10">
        <f>C65+D65+E65+F65+G65</f>
        <v>75</v>
      </c>
      <c r="P65" t="b">
        <f>OR(I65&lt;0.05,J65&lt;0.05,K65&lt;0.05,L65&lt;0.05,M65&lt;0.05)</f>
        <v>0</v>
      </c>
    </row>
    <row r="66" spans="1:16" x14ac:dyDescent="0.35">
      <c r="A66" t="s">
        <v>160</v>
      </c>
      <c r="B66" t="s">
        <v>161</v>
      </c>
      <c r="C66">
        <v>11</v>
      </c>
      <c r="D66">
        <v>20</v>
      </c>
      <c r="E66">
        <v>15</v>
      </c>
      <c r="F66">
        <v>20</v>
      </c>
      <c r="G66">
        <v>9</v>
      </c>
      <c r="I66" s="2">
        <f>C66/C$2</f>
        <v>0.36666666666666664</v>
      </c>
      <c r="J66" s="2">
        <f>D66/D$2</f>
        <v>1</v>
      </c>
      <c r="K66" s="2">
        <f>E66/E$2</f>
        <v>1</v>
      </c>
      <c r="L66" s="2">
        <f>F66/F$2</f>
        <v>1</v>
      </c>
      <c r="M66" s="2">
        <f>G66/G$2</f>
        <v>0.6</v>
      </c>
      <c r="N66" s="10">
        <f>C66+D66+E66+F66+G66</f>
        <v>75</v>
      </c>
      <c r="P66" t="b">
        <f>OR(I66&lt;0.05,J66&lt;0.05,K66&lt;0.05,L66&lt;0.05,M66&lt;0.05)</f>
        <v>0</v>
      </c>
    </row>
    <row r="67" spans="1:16" ht="15.5" x14ac:dyDescent="0.35">
      <c r="A67" s="3" t="s">
        <v>58</v>
      </c>
      <c r="B67" s="3" t="s">
        <v>59</v>
      </c>
      <c r="C67">
        <v>11</v>
      </c>
      <c r="D67">
        <v>16</v>
      </c>
      <c r="E67">
        <v>15</v>
      </c>
      <c r="F67">
        <v>17</v>
      </c>
      <c r="G67">
        <v>15</v>
      </c>
      <c r="I67" s="2">
        <f>C67/C$2</f>
        <v>0.36666666666666664</v>
      </c>
      <c r="J67" s="2">
        <f>D67/D$2</f>
        <v>0.8</v>
      </c>
      <c r="K67" s="2">
        <f>E67/E$2</f>
        <v>1</v>
      </c>
      <c r="L67" s="2">
        <f>F67/F$2</f>
        <v>0.85</v>
      </c>
      <c r="M67" s="2">
        <f>G67/G$2</f>
        <v>1</v>
      </c>
      <c r="N67" s="10">
        <f>C67+D67+E67+F67+G67</f>
        <v>74</v>
      </c>
      <c r="P67" t="b">
        <f>OR(I67&lt;0.05,J67&lt;0.05,K67&lt;0.05,L67&lt;0.05,M67&lt;0.05)</f>
        <v>0</v>
      </c>
    </row>
    <row r="68" spans="1:16" x14ac:dyDescent="0.35">
      <c r="A68" t="s">
        <v>10</v>
      </c>
      <c r="B68" t="s">
        <v>31</v>
      </c>
      <c r="C68">
        <v>20</v>
      </c>
      <c r="D68">
        <v>8</v>
      </c>
      <c r="E68">
        <v>11</v>
      </c>
      <c r="F68">
        <v>20</v>
      </c>
      <c r="G68">
        <v>15</v>
      </c>
      <c r="I68" s="2">
        <f>C68/C$2</f>
        <v>0.66666666666666663</v>
      </c>
      <c r="J68" s="2">
        <f>D68/D$2</f>
        <v>0.4</v>
      </c>
      <c r="K68" s="2">
        <f>E68/E$2</f>
        <v>0.73333333333333328</v>
      </c>
      <c r="L68" s="2">
        <f>F68/F$2</f>
        <v>1</v>
      </c>
      <c r="M68" s="2">
        <f>G68/G$2</f>
        <v>1</v>
      </c>
      <c r="N68" s="10">
        <f>C68+D68+E68+F68+G68</f>
        <v>74</v>
      </c>
      <c r="P68" t="b">
        <f>OR(I68&lt;0.05,J68&lt;0.05,K68&lt;0.05,L68&lt;0.05,M68&lt;0.05)</f>
        <v>0</v>
      </c>
    </row>
    <row r="69" spans="1:16" x14ac:dyDescent="0.35">
      <c r="A69" t="s">
        <v>154</v>
      </c>
      <c r="B69" t="s">
        <v>155</v>
      </c>
      <c r="C69">
        <v>17</v>
      </c>
      <c r="D69">
        <v>14</v>
      </c>
      <c r="E69">
        <v>8</v>
      </c>
      <c r="F69">
        <v>20</v>
      </c>
      <c r="G69">
        <v>15</v>
      </c>
      <c r="I69" s="2">
        <f>C69/C$2</f>
        <v>0.56666666666666665</v>
      </c>
      <c r="J69" s="2">
        <f>D69/D$2</f>
        <v>0.7</v>
      </c>
      <c r="K69" s="2">
        <f>E69/E$2</f>
        <v>0.53333333333333333</v>
      </c>
      <c r="L69" s="2">
        <f>F69/F$2</f>
        <v>1</v>
      </c>
      <c r="M69" s="2">
        <f>G69/G$2</f>
        <v>1</v>
      </c>
      <c r="N69" s="10">
        <f>C69+D69+E69+F69+G69</f>
        <v>74</v>
      </c>
      <c r="P69" t="b">
        <f>OR(I69&lt;0.05,J69&lt;0.05,K69&lt;0.05,L69&lt;0.05,M69&lt;0.05)</f>
        <v>0</v>
      </c>
    </row>
    <row r="70" spans="1:16" ht="15.5" x14ac:dyDescent="0.35">
      <c r="A70" s="3" t="s">
        <v>106</v>
      </c>
      <c r="B70" s="3" t="s">
        <v>41</v>
      </c>
      <c r="C70">
        <v>19</v>
      </c>
      <c r="D70">
        <v>4</v>
      </c>
      <c r="E70">
        <v>15</v>
      </c>
      <c r="F70">
        <v>20</v>
      </c>
      <c r="G70">
        <v>15</v>
      </c>
      <c r="I70" s="2">
        <f>C70/C$2</f>
        <v>0.6333333333333333</v>
      </c>
      <c r="J70" s="2">
        <f>D70/D$2</f>
        <v>0.2</v>
      </c>
      <c r="K70" s="2">
        <f>E70/E$2</f>
        <v>1</v>
      </c>
      <c r="L70" s="2">
        <f>F70/F$2</f>
        <v>1</v>
      </c>
      <c r="M70" s="2">
        <f>G70/G$2</f>
        <v>1</v>
      </c>
      <c r="N70" s="10">
        <f>C70+D70+E70+F70+G70</f>
        <v>73</v>
      </c>
      <c r="P70" t="b">
        <f>OR(I70&lt;0.05,J70&lt;0.05,K70&lt;0.05,L70&lt;0.05,M70&lt;0.05)</f>
        <v>0</v>
      </c>
    </row>
    <row r="71" spans="1:16" ht="15.5" x14ac:dyDescent="0.35">
      <c r="A71" s="3" t="s">
        <v>95</v>
      </c>
      <c r="B71" s="3" t="s">
        <v>96</v>
      </c>
      <c r="C71">
        <v>20</v>
      </c>
      <c r="D71">
        <v>12</v>
      </c>
      <c r="E71">
        <v>15</v>
      </c>
      <c r="F71">
        <v>13</v>
      </c>
      <c r="G71">
        <v>12</v>
      </c>
      <c r="I71" s="2">
        <f>C71/C$2</f>
        <v>0.66666666666666663</v>
      </c>
      <c r="J71" s="2">
        <f>D71/D$2</f>
        <v>0.6</v>
      </c>
      <c r="K71" s="2">
        <f>E71/E$2</f>
        <v>1</v>
      </c>
      <c r="L71" s="2">
        <f>F71/F$2</f>
        <v>0.65</v>
      </c>
      <c r="M71" s="2">
        <f>G71/G$2</f>
        <v>0.8</v>
      </c>
      <c r="N71" s="10">
        <f>C71+D71+E71+F71+G71</f>
        <v>72</v>
      </c>
      <c r="P71" t="b">
        <f>OR(I71&lt;0.05,J71&lt;0.05,K71&lt;0.05,L71&lt;0.05,M71&lt;0.05)</f>
        <v>0</v>
      </c>
    </row>
    <row r="72" spans="1:16" ht="15.5" x14ac:dyDescent="0.35">
      <c r="A72" s="3" t="s">
        <v>18</v>
      </c>
      <c r="B72" s="3" t="s">
        <v>122</v>
      </c>
      <c r="C72">
        <v>30</v>
      </c>
      <c r="D72">
        <v>12</v>
      </c>
      <c r="E72">
        <v>15</v>
      </c>
      <c r="F72">
        <v>3</v>
      </c>
      <c r="G72">
        <v>11</v>
      </c>
      <c r="I72" s="2">
        <f>C72/C$2</f>
        <v>1</v>
      </c>
      <c r="J72" s="2">
        <f>D72/D$2</f>
        <v>0.6</v>
      </c>
      <c r="K72" s="2">
        <f>E72/E$2</f>
        <v>1</v>
      </c>
      <c r="L72" s="2">
        <f>F72/F$2</f>
        <v>0.15</v>
      </c>
      <c r="M72" s="2">
        <f>G72/G$2</f>
        <v>0.73333333333333328</v>
      </c>
      <c r="N72" s="10">
        <f>C72+D72+E72+F72+G72</f>
        <v>71</v>
      </c>
      <c r="P72" t="b">
        <f>OR(I72&lt;0.05,J72&lt;0.05,K72&lt;0.05,L72&lt;0.05,M72&lt;0.05)</f>
        <v>0</v>
      </c>
    </row>
    <row r="73" spans="1:16" ht="15.5" x14ac:dyDescent="0.35">
      <c r="A73" s="3" t="s">
        <v>62</v>
      </c>
      <c r="B73" s="3" t="s">
        <v>63</v>
      </c>
      <c r="C73">
        <v>17</v>
      </c>
      <c r="D73">
        <v>13</v>
      </c>
      <c r="E73">
        <v>15</v>
      </c>
      <c r="F73">
        <v>20</v>
      </c>
      <c r="G73">
        <v>5</v>
      </c>
      <c r="I73" s="2">
        <f>C73/C$2</f>
        <v>0.56666666666666665</v>
      </c>
      <c r="J73" s="2">
        <f>D73/D$2</f>
        <v>0.65</v>
      </c>
      <c r="K73" s="2">
        <f>E73/E$2</f>
        <v>1</v>
      </c>
      <c r="L73" s="2">
        <f>F73/F$2</f>
        <v>1</v>
      </c>
      <c r="M73" s="2">
        <f>G73/G$2</f>
        <v>0.33333333333333331</v>
      </c>
      <c r="N73" s="10">
        <f>C73+D73+E73+F73+G73</f>
        <v>70</v>
      </c>
      <c r="P73" t="b">
        <f>OR(I73&lt;0.05,J73&lt;0.05,K73&lt;0.05,L73&lt;0.05,M73&lt;0.05)</f>
        <v>0</v>
      </c>
    </row>
    <row r="74" spans="1:16" ht="15.5" x14ac:dyDescent="0.35">
      <c r="A74" s="3" t="s">
        <v>50</v>
      </c>
      <c r="B74" s="3" t="s">
        <v>51</v>
      </c>
      <c r="C74">
        <v>30</v>
      </c>
      <c r="D74">
        <v>17</v>
      </c>
      <c r="E74">
        <v>4</v>
      </c>
      <c r="F74">
        <v>2</v>
      </c>
      <c r="G74">
        <v>15</v>
      </c>
      <c r="I74" s="2">
        <f>C74/C$2</f>
        <v>1</v>
      </c>
      <c r="J74" s="2">
        <f>D74/D$2</f>
        <v>0.85</v>
      </c>
      <c r="K74" s="2">
        <f>E74/E$2</f>
        <v>0.26666666666666666</v>
      </c>
      <c r="L74" s="2">
        <f>F74/F$2</f>
        <v>0.1</v>
      </c>
      <c r="M74" s="2">
        <f>G74/G$2</f>
        <v>1</v>
      </c>
      <c r="N74" s="10">
        <f>C74+D74+E74+F74+G74</f>
        <v>68</v>
      </c>
      <c r="P74" t="b">
        <f>OR(I74&lt;0.05,J74&lt;0.05,K74&lt;0.05,L74&lt;0.05,M74&lt;0.05)</f>
        <v>0</v>
      </c>
    </row>
    <row r="75" spans="1:16" x14ac:dyDescent="0.35">
      <c r="A75" t="s">
        <v>16</v>
      </c>
      <c r="B75" t="s">
        <v>139</v>
      </c>
      <c r="C75">
        <v>23</v>
      </c>
      <c r="D75">
        <v>20</v>
      </c>
      <c r="E75">
        <v>5</v>
      </c>
      <c r="F75">
        <v>17</v>
      </c>
      <c r="G75">
        <v>3</v>
      </c>
      <c r="I75" s="2">
        <f>C75/C$2</f>
        <v>0.76666666666666672</v>
      </c>
      <c r="J75" s="2">
        <f>D75/D$2</f>
        <v>1</v>
      </c>
      <c r="K75" s="2">
        <f>E75/E$2</f>
        <v>0.33333333333333331</v>
      </c>
      <c r="L75" s="2">
        <f>F75/F$2</f>
        <v>0.85</v>
      </c>
      <c r="M75" s="2">
        <f>G75/G$2</f>
        <v>0.2</v>
      </c>
      <c r="N75" s="10">
        <f>C75+D75+E75+F75+G75</f>
        <v>68</v>
      </c>
      <c r="P75" t="b">
        <f>OR(I75&lt;0.05,J75&lt;0.05,K75&lt;0.05,L75&lt;0.05,M75&lt;0.05)</f>
        <v>0</v>
      </c>
    </row>
    <row r="76" spans="1:16" ht="15.5" x14ac:dyDescent="0.35">
      <c r="A76" s="3" t="s">
        <v>33</v>
      </c>
      <c r="B76" s="3" t="s">
        <v>102</v>
      </c>
      <c r="C76">
        <v>16</v>
      </c>
      <c r="D76">
        <v>7</v>
      </c>
      <c r="E76">
        <v>15</v>
      </c>
      <c r="F76">
        <v>20</v>
      </c>
      <c r="G76">
        <v>9</v>
      </c>
      <c r="I76" s="2">
        <f>C76/C$2</f>
        <v>0.53333333333333333</v>
      </c>
      <c r="J76" s="2">
        <f>D76/D$2</f>
        <v>0.35</v>
      </c>
      <c r="K76" s="2">
        <f>E76/E$2</f>
        <v>1</v>
      </c>
      <c r="L76" s="2">
        <f>F76/F$2</f>
        <v>1</v>
      </c>
      <c r="M76" s="2">
        <f>G76/G$2</f>
        <v>0.6</v>
      </c>
      <c r="N76" s="10">
        <f>C76+D76+E76+F76+G76</f>
        <v>67</v>
      </c>
      <c r="P76" t="b">
        <f>OR(I76&lt;0.05,J76&lt;0.05,K76&lt;0.05,L76&lt;0.05,M76&lt;0.05)</f>
        <v>0</v>
      </c>
    </row>
    <row r="77" spans="1:16" ht="15.5" x14ac:dyDescent="0.35">
      <c r="A77" s="3" t="s">
        <v>4</v>
      </c>
      <c r="B77" s="3" t="s">
        <v>113</v>
      </c>
      <c r="C77">
        <v>15</v>
      </c>
      <c r="D77">
        <v>20</v>
      </c>
      <c r="E77">
        <v>9</v>
      </c>
      <c r="F77">
        <v>16</v>
      </c>
      <c r="G77">
        <v>7</v>
      </c>
      <c r="I77" s="2">
        <f>C77/C$2</f>
        <v>0.5</v>
      </c>
      <c r="J77" s="2">
        <f>D77/D$2</f>
        <v>1</v>
      </c>
      <c r="K77" s="2">
        <f>E77/E$2</f>
        <v>0.6</v>
      </c>
      <c r="L77" s="2">
        <f>F77/F$2</f>
        <v>0.8</v>
      </c>
      <c r="M77" s="2">
        <f>G77/G$2</f>
        <v>0.46666666666666667</v>
      </c>
      <c r="N77" s="10">
        <f>C77+D77+E77+F77+G77</f>
        <v>67</v>
      </c>
      <c r="P77" t="b">
        <f>OR(I77&lt;0.05,J77&lt;0.05,K77&lt;0.05,L77&lt;0.05,M77&lt;0.05)</f>
        <v>0</v>
      </c>
    </row>
    <row r="78" spans="1:16" x14ac:dyDescent="0.35">
      <c r="A78" t="s">
        <v>18</v>
      </c>
      <c r="B78" t="s">
        <v>15</v>
      </c>
      <c r="C78">
        <v>7</v>
      </c>
      <c r="D78">
        <v>17</v>
      </c>
      <c r="E78">
        <v>15</v>
      </c>
      <c r="F78">
        <v>20</v>
      </c>
      <c r="G78">
        <v>7</v>
      </c>
      <c r="I78" s="2">
        <f>C78/C$2</f>
        <v>0.23333333333333334</v>
      </c>
      <c r="J78" s="2">
        <f>D78/D$2</f>
        <v>0.85</v>
      </c>
      <c r="K78" s="2">
        <f>E78/E$2</f>
        <v>1</v>
      </c>
      <c r="L78" s="2">
        <f>F78/F$2</f>
        <v>1</v>
      </c>
      <c r="M78" s="2">
        <f>G78/G$2</f>
        <v>0.46666666666666667</v>
      </c>
      <c r="N78" s="10">
        <f>C78+D78+E78+F78+G78</f>
        <v>66</v>
      </c>
      <c r="P78" t="b">
        <f>OR(I78&lt;0.05,J78&lt;0.05,K78&lt;0.05,L78&lt;0.05,M78&lt;0.05)</f>
        <v>0</v>
      </c>
    </row>
    <row r="79" spans="1:16" ht="15.5" x14ac:dyDescent="0.35">
      <c r="A79" s="3" t="s">
        <v>34</v>
      </c>
      <c r="B79" s="3" t="s">
        <v>85</v>
      </c>
      <c r="C79">
        <v>16</v>
      </c>
      <c r="D79">
        <v>20</v>
      </c>
      <c r="E79">
        <v>9</v>
      </c>
      <c r="F79">
        <v>11</v>
      </c>
      <c r="G79">
        <v>9</v>
      </c>
      <c r="I79" s="2">
        <f>C79/C$2</f>
        <v>0.53333333333333333</v>
      </c>
      <c r="J79" s="2">
        <f>D79/D$2</f>
        <v>1</v>
      </c>
      <c r="K79" s="2">
        <f>E79/E$2</f>
        <v>0.6</v>
      </c>
      <c r="L79" s="2">
        <f>F79/F$2</f>
        <v>0.55000000000000004</v>
      </c>
      <c r="M79" s="2">
        <f>G79/G$2</f>
        <v>0.6</v>
      </c>
      <c r="N79" s="10">
        <f>C79+D79+E79+F79+G79</f>
        <v>65</v>
      </c>
      <c r="P79" t="b">
        <f>OR(I79&lt;0.05,J79&lt;0.05,K79&lt;0.05,L79&lt;0.05,M79&lt;0.05)</f>
        <v>0</v>
      </c>
    </row>
    <row r="80" spans="1:16" x14ac:dyDescent="0.35">
      <c r="A80" t="s">
        <v>134</v>
      </c>
      <c r="B80" t="s">
        <v>135</v>
      </c>
      <c r="C80">
        <v>18</v>
      </c>
      <c r="D80">
        <v>20</v>
      </c>
      <c r="E80">
        <v>6</v>
      </c>
      <c r="F80">
        <v>6</v>
      </c>
      <c r="G80">
        <v>15</v>
      </c>
      <c r="I80" s="2">
        <f>C80/C$2</f>
        <v>0.6</v>
      </c>
      <c r="J80" s="2">
        <f>D80/D$2</f>
        <v>1</v>
      </c>
      <c r="K80" s="2">
        <f>E80/E$2</f>
        <v>0.4</v>
      </c>
      <c r="L80" s="2">
        <f>F80/F$2</f>
        <v>0.3</v>
      </c>
      <c r="M80" s="2">
        <f>G80/G$2</f>
        <v>1</v>
      </c>
      <c r="N80" s="10">
        <f>C80+D80+E80+F80+G80</f>
        <v>65</v>
      </c>
      <c r="P80" t="b">
        <f>OR(I80&lt;0.05,J80&lt;0.05,K80&lt;0.05,L80&lt;0.05,M80&lt;0.05)</f>
        <v>0</v>
      </c>
    </row>
    <row r="81" spans="1:16" ht="15.5" x14ac:dyDescent="0.35">
      <c r="A81" s="3" t="s">
        <v>72</v>
      </c>
      <c r="B81" s="3" t="s">
        <v>73</v>
      </c>
      <c r="C81">
        <v>22</v>
      </c>
      <c r="D81">
        <v>5</v>
      </c>
      <c r="E81">
        <v>15</v>
      </c>
      <c r="F81">
        <v>7</v>
      </c>
      <c r="G81">
        <v>15</v>
      </c>
      <c r="I81" s="2">
        <f>C81/C$2</f>
        <v>0.73333333333333328</v>
      </c>
      <c r="J81" s="2">
        <f>D81/D$2</f>
        <v>0.25</v>
      </c>
      <c r="K81" s="2">
        <f>E81/E$2</f>
        <v>1</v>
      </c>
      <c r="L81" s="2">
        <f>F81/F$2</f>
        <v>0.35</v>
      </c>
      <c r="M81" s="2">
        <f>G81/G$2</f>
        <v>1</v>
      </c>
      <c r="N81" s="10">
        <f>C81+D81+E81+F81+G81</f>
        <v>64</v>
      </c>
      <c r="P81" t="b">
        <f>OR(I81&lt;0.05,J81&lt;0.05,K81&lt;0.05,L81&lt;0.05,M81&lt;0.05)</f>
        <v>0</v>
      </c>
    </row>
    <row r="82" spans="1:16" ht="15.5" x14ac:dyDescent="0.35">
      <c r="A82" s="3" t="s">
        <v>48</v>
      </c>
      <c r="B82" s="3" t="s">
        <v>49</v>
      </c>
      <c r="C82">
        <v>16</v>
      </c>
      <c r="D82">
        <v>20</v>
      </c>
      <c r="E82">
        <v>6</v>
      </c>
      <c r="F82">
        <v>14</v>
      </c>
      <c r="G82">
        <v>7</v>
      </c>
      <c r="I82" s="2">
        <f>C82/C$2</f>
        <v>0.53333333333333333</v>
      </c>
      <c r="J82" s="2">
        <f>D82/D$2</f>
        <v>1</v>
      </c>
      <c r="K82" s="2">
        <f>E82/E$2</f>
        <v>0.4</v>
      </c>
      <c r="L82" s="2">
        <f>F82/F$2</f>
        <v>0.7</v>
      </c>
      <c r="M82" s="2">
        <f>G82/G$2</f>
        <v>0.46666666666666667</v>
      </c>
      <c r="N82" s="10">
        <f>C82+D82+E82+F82+G82</f>
        <v>63</v>
      </c>
      <c r="P82" t="b">
        <f>OR(I82&lt;0.05,J82&lt;0.05,K82&lt;0.05,L82&lt;0.05,M82&lt;0.05)</f>
        <v>0</v>
      </c>
    </row>
    <row r="83" spans="1:16" ht="15.5" x14ac:dyDescent="0.35">
      <c r="A83" s="3" t="s">
        <v>42</v>
      </c>
      <c r="B83" s="3" t="s">
        <v>93</v>
      </c>
      <c r="C83">
        <v>14</v>
      </c>
      <c r="D83">
        <v>9</v>
      </c>
      <c r="E83">
        <v>15</v>
      </c>
      <c r="F83">
        <v>19</v>
      </c>
      <c r="G83">
        <v>4</v>
      </c>
      <c r="I83" s="2">
        <f>C83/C$2</f>
        <v>0.46666666666666667</v>
      </c>
      <c r="J83" s="2">
        <f>D83/D$2</f>
        <v>0.45</v>
      </c>
      <c r="K83" s="2">
        <f>E83/E$2</f>
        <v>1</v>
      </c>
      <c r="L83" s="2">
        <f>F83/F$2</f>
        <v>0.95</v>
      </c>
      <c r="M83" s="2">
        <f>G83/G$2</f>
        <v>0.26666666666666666</v>
      </c>
      <c r="N83" s="10">
        <f>C83+D83+E83+F83+G83</f>
        <v>61</v>
      </c>
      <c r="P83" t="b">
        <f>OR(I83&lt;0.05,J83&lt;0.05,K83&lt;0.05,L83&lt;0.05,M83&lt;0.05)</f>
        <v>0</v>
      </c>
    </row>
    <row r="84" spans="1:16" x14ac:dyDescent="0.35">
      <c r="A84" t="s">
        <v>150</v>
      </c>
      <c r="B84" t="s">
        <v>151</v>
      </c>
      <c r="C84">
        <v>30</v>
      </c>
      <c r="D84">
        <v>4</v>
      </c>
      <c r="E84">
        <v>15</v>
      </c>
      <c r="F84">
        <v>9</v>
      </c>
      <c r="G84">
        <v>2</v>
      </c>
      <c r="I84" s="2">
        <f>C84/C$2</f>
        <v>1</v>
      </c>
      <c r="J84" s="2">
        <f>D84/D$2</f>
        <v>0.2</v>
      </c>
      <c r="K84" s="2">
        <f>E84/E$2</f>
        <v>1</v>
      </c>
      <c r="L84" s="2">
        <f>F84/F$2</f>
        <v>0.45</v>
      </c>
      <c r="M84" s="2">
        <f>G84/G$2</f>
        <v>0.13333333333333333</v>
      </c>
      <c r="N84" s="10">
        <f>C84+D84+E84+F84+G84</f>
        <v>60</v>
      </c>
      <c r="P84" t="b">
        <f>OR(I84&lt;0.05,J84&lt;0.05,K84&lt;0.05,L84&lt;0.05,M84&lt;0.05)</f>
        <v>0</v>
      </c>
    </row>
    <row r="85" spans="1:16" x14ac:dyDescent="0.35">
      <c r="A85" t="s">
        <v>158</v>
      </c>
      <c r="B85" t="s">
        <v>159</v>
      </c>
      <c r="C85">
        <v>13</v>
      </c>
      <c r="D85">
        <v>12</v>
      </c>
      <c r="E85">
        <v>4</v>
      </c>
      <c r="F85">
        <v>14</v>
      </c>
      <c r="G85">
        <v>15</v>
      </c>
      <c r="I85" s="2">
        <f>C85/C$2</f>
        <v>0.43333333333333335</v>
      </c>
      <c r="J85" s="2">
        <f>D85/D$2</f>
        <v>0.6</v>
      </c>
      <c r="K85" s="2">
        <f>E85/E$2</f>
        <v>0.26666666666666666</v>
      </c>
      <c r="L85" s="2">
        <f>F85/F$2</f>
        <v>0.7</v>
      </c>
      <c r="M85" s="2">
        <f>G85/G$2</f>
        <v>1</v>
      </c>
      <c r="N85" s="10">
        <f>C85+D85+E85+F85+G85</f>
        <v>58</v>
      </c>
      <c r="P85" t="b">
        <f>OR(I85&lt;0.05,J85&lt;0.05,K85&lt;0.05,L85&lt;0.05,M85&lt;0.05)</f>
        <v>0</v>
      </c>
    </row>
    <row r="86" spans="1:16" x14ac:dyDescent="0.35">
      <c r="A86" t="s">
        <v>73</v>
      </c>
      <c r="B86" t="s">
        <v>149</v>
      </c>
      <c r="C86">
        <v>11</v>
      </c>
      <c r="D86">
        <v>3</v>
      </c>
      <c r="E86">
        <v>15</v>
      </c>
      <c r="F86">
        <v>20</v>
      </c>
      <c r="G86">
        <v>4</v>
      </c>
      <c r="I86" s="2">
        <f>C86/C$2</f>
        <v>0.36666666666666664</v>
      </c>
      <c r="J86" s="2">
        <f>D86/D$2</f>
        <v>0.15</v>
      </c>
      <c r="K86" s="2">
        <f>E86/E$2</f>
        <v>1</v>
      </c>
      <c r="L86" s="2">
        <f>F86/F$2</f>
        <v>1</v>
      </c>
      <c r="M86" s="2">
        <f>G86/G$2</f>
        <v>0.26666666666666666</v>
      </c>
      <c r="N86" s="10">
        <f>C86+D86+E86+F86+G86</f>
        <v>53</v>
      </c>
      <c r="P86" t="b">
        <f>OR(I86&lt;0.05,J86&lt;0.05,K86&lt;0.05,L86&lt;0.05,M86&lt;0.05)</f>
        <v>0</v>
      </c>
    </row>
    <row r="87" spans="1:16" x14ac:dyDescent="0.35">
      <c r="A87" t="s">
        <v>11</v>
      </c>
      <c r="B87" t="s">
        <v>12</v>
      </c>
      <c r="C87">
        <v>30</v>
      </c>
      <c r="D87">
        <v>5</v>
      </c>
      <c r="E87">
        <v>7</v>
      </c>
      <c r="F87">
        <v>6</v>
      </c>
      <c r="G87">
        <v>4</v>
      </c>
      <c r="I87" s="2">
        <f>C87/C$2</f>
        <v>1</v>
      </c>
      <c r="J87" s="2">
        <f>D87/D$2</f>
        <v>0.25</v>
      </c>
      <c r="K87" s="2">
        <f>E87/E$2</f>
        <v>0.46666666666666667</v>
      </c>
      <c r="L87" s="2">
        <f>F87/F$2</f>
        <v>0.3</v>
      </c>
      <c r="M87" s="2">
        <f>G87/G$2</f>
        <v>0.26666666666666666</v>
      </c>
      <c r="N87" s="10">
        <f>C87+D87+E87+F87+G87</f>
        <v>52</v>
      </c>
      <c r="P87" t="b">
        <f>OR(I87&lt;0.05,J87&lt;0.05,K87&lt;0.05,L87&lt;0.05,M87&lt;0.05)</f>
        <v>0</v>
      </c>
    </row>
    <row r="88" spans="1:16" x14ac:dyDescent="0.35">
      <c r="A88" t="s">
        <v>163</v>
      </c>
      <c r="B88" t="s">
        <v>28</v>
      </c>
      <c r="C88">
        <v>10</v>
      </c>
      <c r="D88">
        <v>12</v>
      </c>
      <c r="E88">
        <v>5</v>
      </c>
      <c r="F88">
        <v>20</v>
      </c>
      <c r="G88">
        <v>2</v>
      </c>
      <c r="I88" s="2">
        <f>C88/C$2</f>
        <v>0.33333333333333331</v>
      </c>
      <c r="J88" s="2">
        <f>D88/D$2</f>
        <v>0.6</v>
      </c>
      <c r="K88" s="2">
        <f>E88/E$2</f>
        <v>0.33333333333333331</v>
      </c>
      <c r="L88" s="2">
        <f>F88/F$2</f>
        <v>1</v>
      </c>
      <c r="M88" s="2">
        <f>G88/G$2</f>
        <v>0.13333333333333333</v>
      </c>
      <c r="N88" s="10">
        <f>C88+D88+E88+F88+G88</f>
        <v>49</v>
      </c>
      <c r="P88" t="b">
        <f>OR(I88&lt;0.05,J88&lt;0.05,K88&lt;0.05,L88&lt;0.05,M88&lt;0.05)</f>
        <v>0</v>
      </c>
    </row>
    <row r="89" spans="1:16" ht="15.5" x14ac:dyDescent="0.35">
      <c r="A89" s="3" t="s">
        <v>109</v>
      </c>
      <c r="B89" s="3" t="s">
        <v>110</v>
      </c>
      <c r="C89">
        <v>0</v>
      </c>
      <c r="D89">
        <v>20</v>
      </c>
      <c r="E89">
        <v>0</v>
      </c>
      <c r="F89">
        <v>8</v>
      </c>
      <c r="G89">
        <v>15</v>
      </c>
      <c r="I89" s="2">
        <f>C89/C$2</f>
        <v>0</v>
      </c>
      <c r="J89" s="2">
        <f>D89/D$2</f>
        <v>1</v>
      </c>
      <c r="K89" s="2">
        <f>E89/E$2</f>
        <v>0</v>
      </c>
      <c r="L89" s="2">
        <f>F89/F$2</f>
        <v>0.4</v>
      </c>
      <c r="M89" s="2">
        <f>G89/G$2</f>
        <v>1</v>
      </c>
      <c r="N89" s="10">
        <f>C89+D89+E89+F89+G89</f>
        <v>43</v>
      </c>
      <c r="P89" t="b">
        <f>OR(I89&lt;0.05,J89&lt;0.05,K89&lt;0.05,L89&lt;0.05,M89&lt;0.05)</f>
        <v>1</v>
      </c>
    </row>
    <row r="90" spans="1:16" ht="15.5" x14ac:dyDescent="0.35">
      <c r="A90" s="3" t="s">
        <v>34</v>
      </c>
      <c r="B90" s="3" t="s">
        <v>35</v>
      </c>
      <c r="C90">
        <v>30</v>
      </c>
      <c r="D90">
        <v>2</v>
      </c>
      <c r="E90">
        <v>3</v>
      </c>
      <c r="F90">
        <v>1</v>
      </c>
      <c r="G90">
        <v>2</v>
      </c>
      <c r="I90" s="2">
        <f>C90/C$2</f>
        <v>1</v>
      </c>
      <c r="J90" s="2">
        <f>D90/D$2</f>
        <v>0.1</v>
      </c>
      <c r="K90" s="2">
        <f>E90/E$2</f>
        <v>0.2</v>
      </c>
      <c r="L90" s="2">
        <f>F90/F$2</f>
        <v>0.05</v>
      </c>
      <c r="M90" s="2">
        <f>G90/G$2</f>
        <v>0.13333333333333333</v>
      </c>
      <c r="N90" s="10">
        <f>C90+D90+E90+F90+G90</f>
        <v>38</v>
      </c>
      <c r="P90" t="b">
        <f>OR(I90&lt;0.05,J90&lt;0.05,K90&lt;0.05,L90&lt;0.05,M90&lt;0.05)</f>
        <v>0</v>
      </c>
    </row>
    <row r="91" spans="1:16" x14ac:dyDescent="0.35">
      <c r="A91" t="s">
        <v>140</v>
      </c>
      <c r="B91" t="s">
        <v>18</v>
      </c>
      <c r="C91">
        <v>5</v>
      </c>
      <c r="D91">
        <v>7</v>
      </c>
      <c r="E91">
        <v>15</v>
      </c>
      <c r="F91">
        <v>0</v>
      </c>
      <c r="G91">
        <v>3</v>
      </c>
      <c r="I91" s="2">
        <f>C91/C$2</f>
        <v>0.16666666666666666</v>
      </c>
      <c r="J91" s="2">
        <f>D91/D$2</f>
        <v>0.35</v>
      </c>
      <c r="K91" s="2">
        <f>E91/E$2</f>
        <v>1</v>
      </c>
      <c r="L91" s="2">
        <f>F91/F$2</f>
        <v>0</v>
      </c>
      <c r="M91" s="2">
        <f>G91/G$2</f>
        <v>0.2</v>
      </c>
      <c r="N91" s="10">
        <f>C91+D91+E91+F91+G91</f>
        <v>30</v>
      </c>
      <c r="P91" t="b">
        <f>OR(I91&lt;0.05,J91&lt;0.05,K91&lt;0.05,L91&lt;0.05,M91&lt;0.05)</f>
        <v>1</v>
      </c>
    </row>
    <row r="92" spans="1:16" ht="15.5" x14ac:dyDescent="0.35">
      <c r="A92" s="3" t="s">
        <v>124</v>
      </c>
      <c r="B92" s="3" t="s">
        <v>125</v>
      </c>
      <c r="C92">
        <v>12</v>
      </c>
      <c r="D92">
        <v>1</v>
      </c>
      <c r="E92">
        <v>6</v>
      </c>
      <c r="F92">
        <v>7</v>
      </c>
      <c r="G92">
        <v>0</v>
      </c>
      <c r="I92" s="2">
        <f>C92/C$2</f>
        <v>0.4</v>
      </c>
      <c r="J92" s="2">
        <f>D92/D$2</f>
        <v>0.05</v>
      </c>
      <c r="K92" s="2">
        <f>E92/E$2</f>
        <v>0.4</v>
      </c>
      <c r="L92" s="2">
        <f>F92/F$2</f>
        <v>0.35</v>
      </c>
      <c r="M92" s="2">
        <f>G92/G$2</f>
        <v>0</v>
      </c>
      <c r="N92" s="10">
        <f>C92+D92+E92+F92+G92</f>
        <v>26</v>
      </c>
      <c r="P92" t="b">
        <f>OR(I92&lt;0.05,J92&lt;0.05,K92&lt;0.05,L92&lt;0.05,M92&lt;0.05)</f>
        <v>1</v>
      </c>
    </row>
    <row r="93" spans="1:16" ht="15.5" x14ac:dyDescent="0.35">
      <c r="A93" s="3" t="s">
        <v>112</v>
      </c>
      <c r="B93" s="3" t="s">
        <v>130</v>
      </c>
      <c r="C93">
        <v>5</v>
      </c>
      <c r="D93">
        <v>8</v>
      </c>
      <c r="E93">
        <v>3</v>
      </c>
      <c r="F93">
        <v>9</v>
      </c>
      <c r="G93">
        <v>0</v>
      </c>
      <c r="I93" s="2">
        <f>C93/C$2</f>
        <v>0.16666666666666666</v>
      </c>
      <c r="J93" s="2">
        <f>D93/D$2</f>
        <v>0.4</v>
      </c>
      <c r="K93" s="2">
        <f>E93/E$2</f>
        <v>0.2</v>
      </c>
      <c r="L93" s="2">
        <f>F93/F$2</f>
        <v>0.45</v>
      </c>
      <c r="M93" s="2">
        <f>G93/G$2</f>
        <v>0</v>
      </c>
      <c r="N93" s="10">
        <f>C93+D93+E93+F93+G93</f>
        <v>25</v>
      </c>
      <c r="P93" t="b">
        <f>OR(I93&lt;0.05,J93&lt;0.05,K93&lt;0.05,L93&lt;0.05,M93&lt;0.05)</f>
        <v>1</v>
      </c>
    </row>
    <row r="94" spans="1:16" x14ac:dyDescent="0.35">
      <c r="A94" t="s">
        <v>147</v>
      </c>
      <c r="B94" t="s">
        <v>148</v>
      </c>
      <c r="C94">
        <v>1</v>
      </c>
      <c r="D94">
        <v>3</v>
      </c>
      <c r="E94">
        <v>15</v>
      </c>
      <c r="F94">
        <v>4</v>
      </c>
      <c r="G94">
        <v>1</v>
      </c>
      <c r="I94" s="2">
        <f>C94/C$2</f>
        <v>3.3333333333333333E-2</v>
      </c>
      <c r="J94" s="2">
        <f>D94/D$2</f>
        <v>0.15</v>
      </c>
      <c r="K94" s="2">
        <f>E94/E$2</f>
        <v>1</v>
      </c>
      <c r="L94" s="2">
        <f>F94/F$2</f>
        <v>0.2</v>
      </c>
      <c r="M94" s="2">
        <f>G94/G$2</f>
        <v>6.6666666666666666E-2</v>
      </c>
      <c r="N94" s="10">
        <f>C94+D94+E94+F94+G94</f>
        <v>24</v>
      </c>
      <c r="P94" t="b">
        <f>OR(I94&lt;0.05,J94&lt;0.05,K94&lt;0.05,L94&lt;0.05,M94&lt;0.05)</f>
        <v>1</v>
      </c>
    </row>
    <row r="95" spans="1:16" ht="15.5" x14ac:dyDescent="0.35">
      <c r="A95" s="3" t="s">
        <v>60</v>
      </c>
      <c r="B95" s="3" t="s">
        <v>61</v>
      </c>
      <c r="C95">
        <v>1</v>
      </c>
      <c r="D95">
        <v>10</v>
      </c>
      <c r="E95">
        <v>4</v>
      </c>
      <c r="F95">
        <v>5</v>
      </c>
      <c r="G95">
        <v>2</v>
      </c>
      <c r="I95" s="2">
        <f>C95/C$2</f>
        <v>3.3333333333333333E-2</v>
      </c>
      <c r="J95" s="2">
        <f>D95/D$2</f>
        <v>0.5</v>
      </c>
      <c r="K95" s="2">
        <f>E95/E$2</f>
        <v>0.26666666666666666</v>
      </c>
      <c r="L95" s="2">
        <f>F95/F$2</f>
        <v>0.25</v>
      </c>
      <c r="M95" s="2">
        <f>G95/G$2</f>
        <v>0.13333333333333333</v>
      </c>
      <c r="N95" s="10">
        <f>C95+D95+E95+F95+G95</f>
        <v>22</v>
      </c>
      <c r="P95" t="b">
        <f>OR(I95&lt;0.05,J95&lt;0.05,K95&lt;0.05,L95&lt;0.05,M95&lt;0.05)</f>
        <v>1</v>
      </c>
    </row>
    <row r="96" spans="1:16" x14ac:dyDescent="0.35">
      <c r="A96" t="s">
        <v>8</v>
      </c>
      <c r="B96" t="s">
        <v>9</v>
      </c>
      <c r="C96">
        <v>7</v>
      </c>
      <c r="D96">
        <v>1</v>
      </c>
      <c r="E96">
        <v>0</v>
      </c>
      <c r="F96">
        <v>4</v>
      </c>
      <c r="G96">
        <v>9</v>
      </c>
      <c r="I96" s="2">
        <f>C96/C$2</f>
        <v>0.23333333333333334</v>
      </c>
      <c r="J96" s="2">
        <f>D96/D$2</f>
        <v>0.05</v>
      </c>
      <c r="K96" s="2">
        <f>E96/E$2</f>
        <v>0</v>
      </c>
      <c r="L96" s="2">
        <f>F96/F$2</f>
        <v>0.2</v>
      </c>
      <c r="M96" s="2">
        <f>G96/G$2</f>
        <v>0.6</v>
      </c>
      <c r="N96" s="10">
        <f>C96+D96+E96+F96+G96</f>
        <v>21</v>
      </c>
      <c r="P96" t="b">
        <f>OR(I96&lt;0.05,J96&lt;0.05,K96&lt;0.05,L96&lt;0.05,M96&lt;0.05)</f>
        <v>1</v>
      </c>
    </row>
    <row r="97" spans="1:16" ht="15.5" x14ac:dyDescent="0.35">
      <c r="A97" s="3" t="s">
        <v>44</v>
      </c>
      <c r="B97" s="3" t="s">
        <v>45</v>
      </c>
      <c r="C97">
        <v>0</v>
      </c>
      <c r="D97">
        <v>1</v>
      </c>
      <c r="E97">
        <v>4</v>
      </c>
      <c r="F97">
        <v>6</v>
      </c>
      <c r="G97">
        <v>4</v>
      </c>
      <c r="I97" s="2">
        <f>C97/C$2</f>
        <v>0</v>
      </c>
      <c r="J97" s="2">
        <f>D97/D$2</f>
        <v>0.05</v>
      </c>
      <c r="K97" s="2">
        <f>E97/E$2</f>
        <v>0.26666666666666666</v>
      </c>
      <c r="L97" s="2">
        <f>F97/F$2</f>
        <v>0.3</v>
      </c>
      <c r="M97" s="2">
        <f>G97/G$2</f>
        <v>0.26666666666666666</v>
      </c>
      <c r="N97" s="10">
        <f>C97+D97+E97+F97+G97</f>
        <v>15</v>
      </c>
      <c r="P97" t="b">
        <f>OR(I97&lt;0.05,J97&lt;0.05,K97&lt;0.05,L97&lt;0.05,M97&lt;0.05)</f>
        <v>1</v>
      </c>
    </row>
    <row r="98" spans="1:16" ht="15.5" x14ac:dyDescent="0.35">
      <c r="A98" s="3" t="s">
        <v>115</v>
      </c>
      <c r="B98" s="3" t="s">
        <v>92</v>
      </c>
      <c r="C98">
        <v>0</v>
      </c>
      <c r="D98">
        <v>1</v>
      </c>
      <c r="E98">
        <v>3</v>
      </c>
      <c r="F98">
        <v>7</v>
      </c>
      <c r="G98">
        <v>4</v>
      </c>
      <c r="I98" s="2">
        <f>C98/C$2</f>
        <v>0</v>
      </c>
      <c r="J98" s="2">
        <f>D98/D$2</f>
        <v>0.05</v>
      </c>
      <c r="K98" s="2">
        <f>E98/E$2</f>
        <v>0.2</v>
      </c>
      <c r="L98" s="2">
        <f>F98/F$2</f>
        <v>0.35</v>
      </c>
      <c r="M98" s="2">
        <f>G98/G$2</f>
        <v>0.26666666666666666</v>
      </c>
      <c r="N98" s="10">
        <f>C98+D98+E98+F98+G98</f>
        <v>15</v>
      </c>
      <c r="P98" t="b">
        <f>OR(I98&lt;0.05,J98&lt;0.05,K98&lt;0.05,L98&lt;0.05,M98&lt;0.05)</f>
        <v>1</v>
      </c>
    </row>
    <row r="99" spans="1:16" ht="15.5" x14ac:dyDescent="0.35">
      <c r="A99" s="3" t="s">
        <v>52</v>
      </c>
      <c r="B99" s="3" t="s">
        <v>53</v>
      </c>
      <c r="C99">
        <v>1</v>
      </c>
      <c r="D99">
        <v>1</v>
      </c>
      <c r="E99">
        <v>2</v>
      </c>
      <c r="F99">
        <v>1</v>
      </c>
      <c r="G99">
        <v>1</v>
      </c>
      <c r="I99" s="2">
        <f>C99/C$2</f>
        <v>3.3333333333333333E-2</v>
      </c>
      <c r="J99" s="2">
        <f>D99/D$2</f>
        <v>0.05</v>
      </c>
      <c r="K99" s="2">
        <f>E99/E$2</f>
        <v>0.13333333333333333</v>
      </c>
      <c r="L99" s="2">
        <f>F99/F$2</f>
        <v>0.05</v>
      </c>
      <c r="M99" s="2">
        <f>G99/G$2</f>
        <v>6.6666666666666666E-2</v>
      </c>
      <c r="N99" s="10">
        <f>C99+D99+E99+F99+G99</f>
        <v>6</v>
      </c>
      <c r="P99" t="b">
        <f>OR(I99&lt;0.05,J99&lt;0.05,K99&lt;0.05,L99&lt;0.05,M99&lt;0.05)</f>
        <v>1</v>
      </c>
    </row>
    <row r="100" spans="1:16" ht="15.5" x14ac:dyDescent="0.35">
      <c r="A100" s="3" t="s">
        <v>74</v>
      </c>
      <c r="B100" s="3" t="s">
        <v>36</v>
      </c>
      <c r="C100">
        <v>1</v>
      </c>
      <c r="D100">
        <v>1</v>
      </c>
      <c r="E100">
        <v>2</v>
      </c>
      <c r="F100">
        <v>1</v>
      </c>
      <c r="G100">
        <v>1</v>
      </c>
      <c r="I100" s="2">
        <f>C100/C$2</f>
        <v>3.3333333333333333E-2</v>
      </c>
      <c r="J100" s="2">
        <f>D100/D$2</f>
        <v>0.05</v>
      </c>
      <c r="K100" s="2">
        <f>E100/E$2</f>
        <v>0.13333333333333333</v>
      </c>
      <c r="L100" s="2">
        <f>F100/F$2</f>
        <v>0.05</v>
      </c>
      <c r="M100" s="2">
        <f>G100/G$2</f>
        <v>6.6666666666666666E-2</v>
      </c>
      <c r="N100" s="10">
        <f>C100+D100+E100+F100+G100</f>
        <v>6</v>
      </c>
      <c r="P100" t="b">
        <f>OR(I100&lt;0.05,J100&lt;0.05,K100&lt;0.05,L100&lt;0.05,M100&lt;0.05)</f>
        <v>1</v>
      </c>
    </row>
    <row r="101" spans="1:16" x14ac:dyDescent="0.35">
      <c r="A101" t="s">
        <v>162</v>
      </c>
      <c r="B101" t="s">
        <v>102</v>
      </c>
      <c r="C101">
        <v>1</v>
      </c>
      <c r="D101">
        <v>1</v>
      </c>
      <c r="E101">
        <v>2</v>
      </c>
      <c r="F101">
        <v>1</v>
      </c>
      <c r="G101">
        <v>1</v>
      </c>
      <c r="I101" s="2">
        <f>C101/C$2</f>
        <v>3.3333333333333333E-2</v>
      </c>
      <c r="J101" s="2">
        <f>D101/D$2</f>
        <v>0.05</v>
      </c>
      <c r="K101" s="2">
        <f>E101/E$2</f>
        <v>0.13333333333333333</v>
      </c>
      <c r="L101" s="2">
        <f>F101/F$2</f>
        <v>0.05</v>
      </c>
      <c r="M101" s="2">
        <f>G101/G$2</f>
        <v>6.6666666666666666E-2</v>
      </c>
      <c r="N101" s="10">
        <f>C101+D101+E101+F101+G101</f>
        <v>6</v>
      </c>
      <c r="P101" t="b">
        <f>OR(I101&lt;0.05,J101&lt;0.05,K101&lt;0.05,L101&lt;0.05,M101&lt;0.05)</f>
        <v>1</v>
      </c>
    </row>
    <row r="103" spans="1:16" x14ac:dyDescent="0.35">
      <c r="A103" t="s">
        <v>19</v>
      </c>
      <c r="C103">
        <f>MAX(C4:C101)</f>
        <v>30</v>
      </c>
      <c r="D103">
        <f>MAX(D4:D101)</f>
        <v>20</v>
      </c>
      <c r="E103">
        <f>MAX(E4:E101)</f>
        <v>15</v>
      </c>
      <c r="F103">
        <f t="shared" ref="F103:G103" si="4">MAX(F4:F101)</f>
        <v>20</v>
      </c>
      <c r="G103">
        <f t="shared" si="4"/>
        <v>15</v>
      </c>
      <c r="I103" s="6">
        <f>MAX(I4:I101)</f>
        <v>1</v>
      </c>
      <c r="J103" s="6">
        <f t="shared" ref="J103:M103" si="5">MAX(J4:J101)</f>
        <v>1</v>
      </c>
      <c r="K103" s="6">
        <f t="shared" si="5"/>
        <v>1</v>
      </c>
      <c r="L103" s="6">
        <f t="shared" si="5"/>
        <v>1</v>
      </c>
      <c r="M103" s="6">
        <f t="shared" si="5"/>
        <v>1</v>
      </c>
      <c r="N103" s="7">
        <f>MAX(N4:N101)</f>
        <v>100</v>
      </c>
      <c r="P103" s="6"/>
    </row>
    <row r="104" spans="1:16" x14ac:dyDescent="0.35">
      <c r="A104" t="s">
        <v>20</v>
      </c>
      <c r="C104">
        <f>MIN(C4:C101)</f>
        <v>0</v>
      </c>
      <c r="D104">
        <f>MIN(D4:D101)</f>
        <v>1</v>
      </c>
      <c r="E104">
        <f>MIN(E4:E101)</f>
        <v>0</v>
      </c>
      <c r="F104">
        <f t="shared" ref="F104:G104" si="6">MIN(F4:F101)</f>
        <v>0</v>
      </c>
      <c r="G104">
        <f t="shared" si="6"/>
        <v>0</v>
      </c>
      <c r="I104" s="6">
        <f>MIN(I4:I101)</f>
        <v>0</v>
      </c>
      <c r="J104" s="6">
        <f t="shared" ref="J104:M104" si="7">MIN(J4:J101)</f>
        <v>0.05</v>
      </c>
      <c r="K104" s="6">
        <f t="shared" si="7"/>
        <v>0</v>
      </c>
      <c r="L104" s="6">
        <f t="shared" si="7"/>
        <v>0</v>
      </c>
      <c r="M104" s="6">
        <f t="shared" si="7"/>
        <v>0</v>
      </c>
      <c r="N104" s="7">
        <f>MIN(N4:N101)</f>
        <v>6</v>
      </c>
    </row>
    <row r="105" spans="1:16" x14ac:dyDescent="0.35">
      <c r="A105" t="s">
        <v>164</v>
      </c>
      <c r="C105">
        <f>AVERAGE(C4:C101)</f>
        <v>21.204081632653061</v>
      </c>
      <c r="D105">
        <f>AVERAGE(D4:D101)</f>
        <v>14.969387755102041</v>
      </c>
      <c r="E105">
        <f>AVERAGE(E4:E101)</f>
        <v>11.86734693877551</v>
      </c>
      <c r="F105">
        <f t="shared" ref="F105:G105" si="8">AVERAGE(F4:F101)</f>
        <v>14.530612244897959</v>
      </c>
      <c r="G105">
        <f t="shared" si="8"/>
        <v>11.316326530612244</v>
      </c>
      <c r="I105" s="6">
        <f>AVERAGE(I4:I101)</f>
        <v>0.70680272108843534</v>
      </c>
      <c r="J105" s="6">
        <f t="shared" ref="J105:L105" si="9">AVERAGE(J4:J101)</f>
        <v>0.74846938775510186</v>
      </c>
      <c r="K105" s="6">
        <f t="shared" si="9"/>
        <v>0.79115646258503425</v>
      </c>
      <c r="L105" s="6">
        <f t="shared" si="9"/>
        <v>0.72653061224489779</v>
      </c>
      <c r="M105" s="6">
        <f>AVERAGE(M4:M101)</f>
        <v>0.7544217687074829</v>
      </c>
      <c r="N105" s="7">
        <f>AVERAGE(N4:N101)</f>
        <v>73.887755102040813</v>
      </c>
    </row>
  </sheetData>
  <sortState ref="A5:P101">
    <sortCondition descending="1" ref="N5:N101"/>
  </sortState>
  <conditionalFormatting sqref="C4:G101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4:N101">
    <cfRule type="cellIs" dxfId="4" priority="6" operator="lessThan">
      <formula>0.5</formula>
    </cfRule>
  </conditionalFormatting>
  <conditionalFormatting sqref="P4:P101 Q4 P103">
    <cfRule type="cellIs" dxfId="3" priority="2" operator="equal">
      <formula>TRUE</formula>
    </cfRule>
    <cfRule type="cellIs" dxfId="2" priority="4" operator="equal">
      <formula>TRUE</formula>
    </cfRule>
    <cfRule type="cellIs" dxfId="1" priority="5" operator="equal">
      <formula>TRUE</formula>
    </cfRule>
  </conditionalFormatting>
  <conditionalFormatting sqref="P4:Q4">
    <cfRule type="cellIs" dxfId="0" priority="3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9302-D786-4DE7-9E85-EEDBE9CB5FC2}">
  <dimension ref="A1"/>
  <sheetViews>
    <sheetView zoomScale="76" zoomScaleNormal="76" workbookViewId="0">
      <selection activeCell="I20" sqref="I2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A8FB-08BC-43D7-865D-94F80E772427}">
  <dimension ref="A1:A22"/>
  <sheetViews>
    <sheetView topLeftCell="F1" zoomScaleNormal="100" workbookViewId="0">
      <selection activeCell="A22" sqref="A22"/>
    </sheetView>
  </sheetViews>
  <sheetFormatPr defaultRowHeight="14.5" x14ac:dyDescent="0.35"/>
  <sheetData>
    <row r="1" spans="1:1" x14ac:dyDescent="0.35">
      <c r="A1" s="8" t="s">
        <v>169</v>
      </c>
    </row>
    <row r="3" spans="1:1" x14ac:dyDescent="0.35">
      <c r="A3" s="8" t="s">
        <v>170</v>
      </c>
    </row>
    <row r="4" spans="1:1" x14ac:dyDescent="0.35">
      <c r="A4" s="11" t="s">
        <v>171</v>
      </c>
    </row>
    <row r="6" spans="1:1" x14ac:dyDescent="0.35">
      <c r="A6" s="8" t="s">
        <v>172</v>
      </c>
    </row>
    <row r="7" spans="1:1" x14ac:dyDescent="0.35">
      <c r="A7" t="s">
        <v>173</v>
      </c>
    </row>
    <row r="9" spans="1:1" x14ac:dyDescent="0.35">
      <c r="A9" s="8" t="s">
        <v>174</v>
      </c>
    </row>
    <row r="10" spans="1:1" x14ac:dyDescent="0.35">
      <c r="A10" t="s">
        <v>175</v>
      </c>
    </row>
    <row r="12" spans="1:1" x14ac:dyDescent="0.35">
      <c r="A12" s="8" t="s">
        <v>176</v>
      </c>
    </row>
    <row r="13" spans="1:1" x14ac:dyDescent="0.35">
      <c r="A13" t="s">
        <v>177</v>
      </c>
    </row>
    <row r="15" spans="1:1" x14ac:dyDescent="0.35">
      <c r="A15" s="8" t="s">
        <v>178</v>
      </c>
    </row>
    <row r="16" spans="1:1" x14ac:dyDescent="0.35">
      <c r="A16" t="s">
        <v>179</v>
      </c>
    </row>
    <row r="18" spans="1:1" x14ac:dyDescent="0.35">
      <c r="A18" s="8" t="s">
        <v>180</v>
      </c>
    </row>
    <row r="19" spans="1:1" ht="15.5" x14ac:dyDescent="0.35">
      <c r="A19" s="12" t="s">
        <v>181</v>
      </c>
    </row>
    <row r="21" spans="1:1" x14ac:dyDescent="0.35">
      <c r="A21" s="8" t="s">
        <v>182</v>
      </c>
    </row>
    <row r="22" spans="1:1" x14ac:dyDescent="0.35">
      <c r="A22" t="s">
        <v>183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 Employee Data Analysis</vt:lpstr>
      <vt:lpstr>Analysis (Charts)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OGBOMUDIA</dc:creator>
  <cp:lastModifiedBy>MICHAEL OGBOMUDIA</cp:lastModifiedBy>
  <dcterms:created xsi:type="dcterms:W3CDTF">2026-05-18T17:14:02Z</dcterms:created>
  <dcterms:modified xsi:type="dcterms:W3CDTF">2026-05-28T21:24:22Z</dcterms:modified>
</cp:coreProperties>
</file>